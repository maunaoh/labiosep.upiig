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sgcu\Downloads\"/>
    </mc:Choice>
  </mc:AlternateContent>
  <xr:revisionPtr revIDLastSave="0" documentId="8_{3F6EAC28-DADB-46C0-8B58-BA34DC9139AC}" xr6:coauthVersionLast="47" xr6:coauthVersionMax="47" xr10:uidLastSave="{00000000-0000-0000-0000-000000000000}"/>
  <bookViews>
    <workbookView xWindow="-108" yWindow="-108" windowWidth="23256" windowHeight="12456" xr2:uid="{258F368F-F967-49BA-A8D1-E0F04B06A0AF}"/>
  </bookViews>
  <sheets>
    <sheet name="Original" sheetId="1" r:id="rId1"/>
    <sheet name="Sin ruido en Tsal" sheetId="2" r:id="rId2"/>
    <sheet name="Velocidad de secado" sheetId="3" state="hidden" r:id="rId3"/>
    <sheet name="Gráficos EQ5" sheetId="6" r:id="rId4"/>
    <sheet name="EQ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5" l="1"/>
  <c r="J27" i="5"/>
  <c r="K28" i="5"/>
  <c r="AB29" i="3"/>
  <c r="J34" i="3"/>
  <c r="K34" i="3" s="1"/>
  <c r="J35" i="3"/>
  <c r="K35" i="3" s="1"/>
  <c r="J36" i="3"/>
  <c r="K36" i="3" s="1"/>
  <c r="J25" i="5"/>
  <c r="K33" i="5"/>
  <c r="L33" i="5" s="1"/>
  <c r="L25" i="5"/>
  <c r="O27" i="5"/>
  <c r="J25" i="3"/>
  <c r="K25" i="3" s="1"/>
  <c r="G11" i="5"/>
  <c r="K29" i="5"/>
  <c r="K27" i="5"/>
  <c r="D80" i="5"/>
  <c r="G12" i="5"/>
  <c r="G11" i="3"/>
  <c r="K25" i="5"/>
  <c r="J26" i="5"/>
  <c r="K26" i="5"/>
  <c r="J28" i="5"/>
  <c r="J29" i="5"/>
  <c r="J30" i="5"/>
  <c r="K30" i="5"/>
  <c r="J31" i="5"/>
  <c r="K31" i="5"/>
  <c r="J32" i="5"/>
  <c r="K32" i="5"/>
  <c r="J33" i="5"/>
  <c r="J34" i="5"/>
  <c r="K34" i="5"/>
  <c r="J35" i="5"/>
  <c r="K35" i="5"/>
  <c r="J36" i="5"/>
  <c r="K36" i="5"/>
  <c r="J37" i="5"/>
  <c r="K37" i="5"/>
  <c r="J38" i="5"/>
  <c r="K38" i="5"/>
  <c r="J39" i="5"/>
  <c r="K39" i="5"/>
  <c r="J40" i="5"/>
  <c r="K40" i="5"/>
  <c r="J41" i="5"/>
  <c r="K41" i="5"/>
  <c r="J42" i="5"/>
  <c r="K42" i="5"/>
  <c r="J43" i="5"/>
  <c r="K43" i="5"/>
  <c r="J44" i="5"/>
  <c r="K44" i="5" s="1"/>
  <c r="J45" i="5"/>
  <c r="K45" i="5"/>
  <c r="J46" i="5"/>
  <c r="K46" i="5"/>
  <c r="J47" i="5"/>
  <c r="K47" i="5"/>
  <c r="J48" i="5"/>
  <c r="K48" i="5"/>
  <c r="J49" i="5"/>
  <c r="K49" i="5"/>
  <c r="J50" i="5"/>
  <c r="K50" i="5"/>
  <c r="J51" i="5"/>
  <c r="K51" i="5"/>
  <c r="J52" i="5"/>
  <c r="K52" i="5"/>
  <c r="J53" i="5"/>
  <c r="K53" i="5"/>
  <c r="J54" i="5"/>
  <c r="K54" i="5"/>
  <c r="J55" i="5"/>
  <c r="K55" i="5"/>
  <c r="J56" i="5"/>
  <c r="K56" i="5"/>
  <c r="J57" i="5"/>
  <c r="K57" i="5"/>
  <c r="J58" i="5"/>
  <c r="K58" i="5"/>
  <c r="J59" i="5"/>
  <c r="K59" i="5"/>
  <c r="J60" i="5"/>
  <c r="K60" i="5"/>
  <c r="J61" i="5"/>
  <c r="K61" i="5"/>
  <c r="J62" i="5"/>
  <c r="K62" i="5"/>
  <c r="J63" i="5"/>
  <c r="K63" i="5"/>
  <c r="J64" i="5"/>
  <c r="K64" i="5"/>
  <c r="J65" i="5"/>
  <c r="K65" i="5"/>
  <c r="J66" i="5"/>
  <c r="K66" i="5"/>
  <c r="J67" i="5"/>
  <c r="K67" i="5"/>
  <c r="J68" i="5"/>
  <c r="K68" i="5"/>
  <c r="J69" i="5"/>
  <c r="K69" i="5"/>
  <c r="J70" i="5"/>
  <c r="K70" i="5"/>
  <c r="J71" i="5"/>
  <c r="K71" i="5"/>
  <c r="J72" i="5"/>
  <c r="K72" i="5"/>
  <c r="J73" i="5"/>
  <c r="K73" i="5"/>
  <c r="J74" i="5"/>
  <c r="K74" i="5"/>
  <c r="J75" i="5"/>
  <c r="K75" i="5"/>
  <c r="J76" i="5"/>
  <c r="K76" i="5"/>
  <c r="J77" i="5"/>
  <c r="K77" i="5"/>
  <c r="J78" i="5"/>
  <c r="K78" i="5"/>
  <c r="B16" i="5"/>
  <c r="B17" i="5"/>
  <c r="B18" i="5"/>
  <c r="B19" i="5"/>
  <c r="B20" i="5"/>
  <c r="D8" i="5"/>
  <c r="D11" i="5" s="1"/>
  <c r="H8" i="5"/>
  <c r="D9" i="5"/>
  <c r="H9" i="5"/>
  <c r="D10" i="5"/>
  <c r="H10" i="5"/>
  <c r="G12" i="3"/>
  <c r="J26" i="3"/>
  <c r="K26" i="3" s="1"/>
  <c r="J27" i="3"/>
  <c r="K27" i="3" s="1"/>
  <c r="J29" i="3"/>
  <c r="K29" i="3" s="1"/>
  <c r="J30" i="3"/>
  <c r="K30" i="3" s="1"/>
  <c r="J31" i="3"/>
  <c r="K31" i="3" s="1"/>
  <c r="J32" i="3"/>
  <c r="K32" i="3" s="1"/>
  <c r="B20" i="3"/>
  <c r="H8" i="3"/>
  <c r="H10" i="3"/>
  <c r="H9" i="3"/>
  <c r="D10" i="3"/>
  <c r="D9" i="3"/>
  <c r="D8" i="3"/>
  <c r="B19" i="3"/>
  <c r="B18" i="3"/>
  <c r="B17" i="3"/>
  <c r="B16" i="3"/>
  <c r="L26" i="3" l="1"/>
  <c r="J45" i="3"/>
  <c r="K45" i="3" s="1"/>
  <c r="J44" i="3"/>
  <c r="K44" i="3" s="1"/>
  <c r="J42" i="3"/>
  <c r="K42" i="3" s="1"/>
  <c r="J46" i="3"/>
  <c r="K46" i="3" s="1"/>
  <c r="L45" i="3" s="1"/>
  <c r="J33" i="3"/>
  <c r="K33" i="3" s="1"/>
  <c r="L32" i="3" s="1"/>
  <c r="L25" i="3"/>
  <c r="J28" i="3"/>
  <c r="K28" i="3" s="1"/>
  <c r="L28" i="3" s="1"/>
  <c r="J41" i="3"/>
  <c r="K41" i="3" s="1"/>
  <c r="L41" i="3" s="1"/>
  <c r="J40" i="3"/>
  <c r="K40" i="3" s="1"/>
  <c r="J39" i="3"/>
  <c r="K39" i="3" s="1"/>
  <c r="J37" i="3"/>
  <c r="N25" i="3"/>
  <c r="L26" i="5"/>
  <c r="L78" i="5"/>
  <c r="M78" i="5" s="1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2" i="5"/>
  <c r="L31" i="5"/>
  <c r="L30" i="5"/>
  <c r="L29" i="5"/>
  <c r="L28" i="5"/>
  <c r="L27" i="5"/>
  <c r="N30" i="3"/>
  <c r="N29" i="3"/>
  <c r="N26" i="3"/>
  <c r="N31" i="3"/>
  <c r="N32" i="3"/>
  <c r="N33" i="3"/>
  <c r="N34" i="3"/>
  <c r="N35" i="3"/>
  <c r="N45" i="3"/>
  <c r="L31" i="3"/>
  <c r="L29" i="3"/>
  <c r="M29" i="3" s="1"/>
  <c r="L35" i="3"/>
  <c r="L34" i="3"/>
  <c r="L30" i="3"/>
  <c r="D11" i="3"/>
  <c r="L33" i="3" l="1"/>
  <c r="M33" i="3" s="1"/>
  <c r="N44" i="3"/>
  <c r="L44" i="3"/>
  <c r="L39" i="3"/>
  <c r="K37" i="3"/>
  <c r="L36" i="3" s="1"/>
  <c r="N36" i="3"/>
  <c r="L40" i="3"/>
  <c r="M40" i="3" s="1"/>
  <c r="L27" i="3"/>
  <c r="M26" i="3" s="1"/>
  <c r="N27" i="3"/>
  <c r="J38" i="3"/>
  <c r="N37" i="3" s="1"/>
  <c r="J51" i="3"/>
  <c r="N41" i="3"/>
  <c r="J47" i="3"/>
  <c r="N40" i="3"/>
  <c r="N39" i="3"/>
  <c r="N28" i="3"/>
  <c r="J49" i="3"/>
  <c r="J50" i="3"/>
  <c r="M25" i="3"/>
  <c r="M30" i="3"/>
  <c r="M28" i="3"/>
  <c r="M25" i="5"/>
  <c r="O25" i="5" s="1"/>
  <c r="N25" i="5"/>
  <c r="N77" i="5"/>
  <c r="M77" i="5"/>
  <c r="O77" i="5" s="1"/>
  <c r="N76" i="5"/>
  <c r="M76" i="5"/>
  <c r="N75" i="5"/>
  <c r="M75" i="5"/>
  <c r="O75" i="5" s="1"/>
  <c r="N74" i="5"/>
  <c r="M74" i="5"/>
  <c r="O74" i="5" s="1"/>
  <c r="N73" i="5"/>
  <c r="M73" i="5"/>
  <c r="O73" i="5" s="1"/>
  <c r="N72" i="5"/>
  <c r="M72" i="5"/>
  <c r="O72" i="5" s="1"/>
  <c r="N71" i="5"/>
  <c r="M71" i="5"/>
  <c r="N70" i="5"/>
  <c r="M70" i="5"/>
  <c r="O70" i="5" s="1"/>
  <c r="N69" i="5"/>
  <c r="M69" i="5"/>
  <c r="N68" i="5"/>
  <c r="M68" i="5"/>
  <c r="N67" i="5"/>
  <c r="M67" i="5"/>
  <c r="O67" i="5" s="1"/>
  <c r="M66" i="5"/>
  <c r="O66" i="5" s="1"/>
  <c r="N66" i="5"/>
  <c r="M65" i="5"/>
  <c r="O65" i="5" s="1"/>
  <c r="N65" i="5"/>
  <c r="M64" i="5"/>
  <c r="O64" i="5" s="1"/>
  <c r="N64" i="5"/>
  <c r="M63" i="5"/>
  <c r="O63" i="5" s="1"/>
  <c r="N63" i="5"/>
  <c r="M62" i="5"/>
  <c r="O62" i="5" s="1"/>
  <c r="N62" i="5"/>
  <c r="M61" i="5"/>
  <c r="O61" i="5" s="1"/>
  <c r="N61" i="5"/>
  <c r="M60" i="5"/>
  <c r="N60" i="5"/>
  <c r="M59" i="5"/>
  <c r="O59" i="5" s="1"/>
  <c r="N59" i="5"/>
  <c r="M58" i="5"/>
  <c r="O58" i="5" s="1"/>
  <c r="N58" i="5"/>
  <c r="M57" i="5"/>
  <c r="O57" i="5" s="1"/>
  <c r="N57" i="5"/>
  <c r="M56" i="5"/>
  <c r="O56" i="5" s="1"/>
  <c r="N56" i="5"/>
  <c r="M55" i="5"/>
  <c r="O55" i="5" s="1"/>
  <c r="N55" i="5"/>
  <c r="M54" i="5"/>
  <c r="O54" i="5" s="1"/>
  <c r="N54" i="5"/>
  <c r="M53" i="5"/>
  <c r="O53" i="5" s="1"/>
  <c r="N53" i="5"/>
  <c r="M52" i="5"/>
  <c r="N52" i="5"/>
  <c r="M51" i="5"/>
  <c r="O51" i="5" s="1"/>
  <c r="N51" i="5"/>
  <c r="M50" i="5"/>
  <c r="O50" i="5" s="1"/>
  <c r="N50" i="5"/>
  <c r="M49" i="5"/>
  <c r="O49" i="5" s="1"/>
  <c r="N49" i="5"/>
  <c r="M48" i="5"/>
  <c r="N48" i="5"/>
  <c r="M47" i="5"/>
  <c r="O47" i="5" s="1"/>
  <c r="N47" i="5"/>
  <c r="M46" i="5"/>
  <c r="O46" i="5" s="1"/>
  <c r="N46" i="5"/>
  <c r="M45" i="5"/>
  <c r="O45" i="5" s="1"/>
  <c r="N45" i="5"/>
  <c r="M44" i="5"/>
  <c r="N44" i="5"/>
  <c r="M43" i="5"/>
  <c r="O43" i="5" s="1"/>
  <c r="N43" i="5"/>
  <c r="M42" i="5"/>
  <c r="O42" i="5" s="1"/>
  <c r="N42" i="5"/>
  <c r="M41" i="5"/>
  <c r="O41" i="5" s="1"/>
  <c r="N41" i="5"/>
  <c r="M40" i="5"/>
  <c r="O40" i="5" s="1"/>
  <c r="N40" i="5"/>
  <c r="M39" i="5"/>
  <c r="O39" i="5" s="1"/>
  <c r="N39" i="5"/>
  <c r="M38" i="5"/>
  <c r="O38" i="5" s="1"/>
  <c r="N38" i="5"/>
  <c r="M37" i="5"/>
  <c r="O37" i="5" s="1"/>
  <c r="N37" i="5"/>
  <c r="M36" i="5"/>
  <c r="N36" i="5"/>
  <c r="M35" i="5"/>
  <c r="O35" i="5" s="1"/>
  <c r="N35" i="5"/>
  <c r="M34" i="5"/>
  <c r="O34" i="5" s="1"/>
  <c r="N34" i="5"/>
  <c r="M33" i="5"/>
  <c r="O33" i="5" s="1"/>
  <c r="N33" i="5"/>
  <c r="M32" i="5"/>
  <c r="N32" i="5"/>
  <c r="M31" i="5"/>
  <c r="O31" i="5" s="1"/>
  <c r="N31" i="5"/>
  <c r="N30" i="5"/>
  <c r="M30" i="5"/>
  <c r="O30" i="5" s="1"/>
  <c r="M29" i="5"/>
  <c r="N28" i="5"/>
  <c r="M28" i="5"/>
  <c r="M27" i="5"/>
  <c r="N27" i="5"/>
  <c r="N26" i="5"/>
  <c r="M26" i="5"/>
  <c r="O26" i="5" s="1"/>
  <c r="M31" i="3"/>
  <c r="M44" i="3"/>
  <c r="M34" i="3"/>
  <c r="M32" i="3"/>
  <c r="M39" i="3" l="1"/>
  <c r="M27" i="3"/>
  <c r="K47" i="3"/>
  <c r="L46" i="3" s="1"/>
  <c r="N46" i="3"/>
  <c r="J52" i="3"/>
  <c r="J56" i="3"/>
  <c r="K51" i="3"/>
  <c r="K38" i="3"/>
  <c r="N38" i="3"/>
  <c r="J43" i="3"/>
  <c r="J55" i="3"/>
  <c r="K50" i="3"/>
  <c r="N50" i="3"/>
  <c r="M35" i="3"/>
  <c r="K49" i="3"/>
  <c r="N49" i="3"/>
  <c r="J54" i="3"/>
  <c r="O28" i="5"/>
  <c r="O68" i="5"/>
  <c r="O76" i="5"/>
  <c r="O48" i="5"/>
  <c r="O36" i="5"/>
  <c r="O44" i="5"/>
  <c r="O52" i="5"/>
  <c r="O60" i="5"/>
  <c r="O29" i="5"/>
  <c r="O69" i="5"/>
  <c r="O71" i="5"/>
  <c r="O32" i="5"/>
  <c r="K52" i="3" l="1"/>
  <c r="L51" i="3" s="1"/>
  <c r="M45" i="3"/>
  <c r="L49" i="3"/>
  <c r="K55" i="3"/>
  <c r="L54" i="3" s="1"/>
  <c r="N55" i="3"/>
  <c r="J60" i="3"/>
  <c r="K43" i="3"/>
  <c r="N42" i="3"/>
  <c r="N43" i="3"/>
  <c r="J48" i="3"/>
  <c r="L37" i="3"/>
  <c r="L38" i="3"/>
  <c r="M38" i="3" s="1"/>
  <c r="N51" i="3"/>
  <c r="L50" i="3"/>
  <c r="M50" i="3" s="1"/>
  <c r="K56" i="3"/>
  <c r="L55" i="3" s="1"/>
  <c r="N56" i="3"/>
  <c r="K54" i="3"/>
  <c r="N54" i="3"/>
  <c r="J61" i="3"/>
  <c r="J59" i="3"/>
  <c r="J57" i="3"/>
  <c r="M37" i="3" l="1"/>
  <c r="M36" i="3"/>
  <c r="K48" i="3"/>
  <c r="N48" i="3"/>
  <c r="N47" i="3"/>
  <c r="J53" i="3"/>
  <c r="K57" i="3"/>
  <c r="L56" i="3" s="1"/>
  <c r="J62" i="3"/>
  <c r="K59" i="3"/>
  <c r="N59" i="3"/>
  <c r="L42" i="3"/>
  <c r="L43" i="3"/>
  <c r="M43" i="3" s="1"/>
  <c r="J64" i="3"/>
  <c r="K60" i="3"/>
  <c r="N60" i="3"/>
  <c r="K61" i="3"/>
  <c r="L60" i="3" s="1"/>
  <c r="J65" i="3"/>
  <c r="J66" i="3"/>
  <c r="M54" i="3"/>
  <c r="M49" i="3"/>
  <c r="M42" i="3" l="1"/>
  <c r="M41" i="3"/>
  <c r="K62" i="3"/>
  <c r="L61" i="3" s="1"/>
  <c r="M60" i="3" s="1"/>
  <c r="J67" i="3"/>
  <c r="J76" i="3"/>
  <c r="J71" i="3"/>
  <c r="K66" i="3"/>
  <c r="N66" i="3"/>
  <c r="K65" i="3"/>
  <c r="L64" i="3" s="1"/>
  <c r="N65" i="3"/>
  <c r="K53" i="3"/>
  <c r="N53" i="3"/>
  <c r="N52" i="3"/>
  <c r="J75" i="3"/>
  <c r="J70" i="3"/>
  <c r="J58" i="3"/>
  <c r="N61" i="3"/>
  <c r="L47" i="3"/>
  <c r="L48" i="3"/>
  <c r="M48" i="3" s="1"/>
  <c r="L59" i="3"/>
  <c r="M59" i="3" s="1"/>
  <c r="K64" i="3"/>
  <c r="N64" i="3"/>
  <c r="J74" i="3"/>
  <c r="J69" i="3"/>
  <c r="M55" i="3"/>
  <c r="K69" i="3" l="1"/>
  <c r="N69" i="3"/>
  <c r="L65" i="3"/>
  <c r="K71" i="3"/>
  <c r="M47" i="3"/>
  <c r="M46" i="3"/>
  <c r="K76" i="3"/>
  <c r="J77" i="3"/>
  <c r="J72" i="3"/>
  <c r="K67" i="3"/>
  <c r="L66" i="3" s="1"/>
  <c r="L52" i="3"/>
  <c r="L53" i="3"/>
  <c r="M53" i="3" s="1"/>
  <c r="K74" i="3"/>
  <c r="N74" i="3"/>
  <c r="K58" i="3"/>
  <c r="N58" i="3"/>
  <c r="N57" i="3"/>
  <c r="J63" i="3"/>
  <c r="K70" i="3"/>
  <c r="L69" i="3" s="1"/>
  <c r="N70" i="3"/>
  <c r="K75" i="3"/>
  <c r="N75" i="3"/>
  <c r="L74" i="3" l="1"/>
  <c r="M52" i="3"/>
  <c r="M51" i="3"/>
  <c r="K72" i="3"/>
  <c r="L71" i="3" s="1"/>
  <c r="K77" i="3"/>
  <c r="L76" i="3" s="1"/>
  <c r="N76" i="3"/>
  <c r="L75" i="3"/>
  <c r="K63" i="3"/>
  <c r="N63" i="3"/>
  <c r="N62" i="3"/>
  <c r="J68" i="3"/>
  <c r="N71" i="3"/>
  <c r="L70" i="3"/>
  <c r="M74" i="3"/>
  <c r="M65" i="3"/>
  <c r="L57" i="3"/>
  <c r="L58" i="3"/>
  <c r="M58" i="3" s="1"/>
  <c r="M64" i="3"/>
  <c r="M57" i="3" l="1"/>
  <c r="M56" i="3"/>
  <c r="M70" i="3"/>
  <c r="J78" i="3"/>
  <c r="J73" i="3"/>
  <c r="K68" i="3"/>
  <c r="N68" i="3"/>
  <c r="N67" i="3"/>
  <c r="L62" i="3"/>
  <c r="L63" i="3"/>
  <c r="M63" i="3" s="1"/>
  <c r="M75" i="3"/>
  <c r="M69" i="3"/>
  <c r="M62" i="3" l="1"/>
  <c r="M61" i="3"/>
  <c r="L67" i="3"/>
  <c r="L68" i="3"/>
  <c r="M68" i="3" s="1"/>
  <c r="K73" i="3"/>
  <c r="N73" i="3"/>
  <c r="N72" i="3"/>
  <c r="K78" i="3"/>
  <c r="N77" i="3"/>
  <c r="L72" i="3" l="1"/>
  <c r="L73" i="3"/>
  <c r="M73" i="3" s="1"/>
  <c r="M67" i="3"/>
  <c r="M66" i="3"/>
  <c r="L77" i="3"/>
  <c r="L78" i="3"/>
  <c r="M77" i="3" l="1"/>
  <c r="M76" i="3"/>
  <c r="M72" i="3"/>
  <c r="M7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tc={937B9DEB-CBCC-43B9-9A65-EE9FCAA6AB74}</author>
    <author>tc={2C3583E1-2F49-430A-8709-F3F856F0B669}</author>
  </authors>
  <commentList>
    <comment ref="B27" authorId="0" shapeId="0" xr:uid="{937B9DEB-CBCC-43B9-9A65-EE9FCAA6AB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abrio la puerta
Respuesta:
    Va</t>
      </text>
    </comment>
    <comment ref="I46" authorId="1" shapeId="0" xr:uid="{2C3583E1-2F49-430A-8709-F3F856F0B6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asusten, asi de pendejo esta ese equipo de secado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tc={FFBD9E09-9090-4BCF-B1C7-EB8D782A4F5E}</author>
    <author>tc={F27CEC7D-C433-49B1-AC5A-67313660BCDE}</author>
  </authors>
  <commentList>
    <comment ref="B27" authorId="0" shapeId="0" xr:uid="{FFBD9E09-9090-4BCF-B1C7-EB8D782A4F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abrio la puerta
Respuesta:
    Va</t>
      </text>
    </comment>
    <comment ref="I46" authorId="1" shapeId="0" xr:uid="{F27CEC7D-C433-49B1-AC5A-67313660BC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asusten, asi de pendejo esta ese equipo de secado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tc={C0B65B6C-C9C1-4B1F-B1D6-481658663A47}</author>
  </authors>
  <commentList>
    <comment ref="C44" authorId="0" shapeId="0" xr:uid="{C0B65B6C-C9C1-4B1F-B1D6-481658663A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abrio la puerta
Respuesta:
    Va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tc={756178BC-7650-43D9-A24B-068D9839DEF9}</author>
    <author>tc={3B5731B3-0F58-4C55-8B91-8D0C6447AA6F}</author>
  </authors>
  <commentList>
    <comment ref="C27" authorId="0" shapeId="0" xr:uid="{756178BC-7650-43D9-A24B-068D9839DE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abrio la puerta
Respuesta:
    Va</t>
      </text>
    </comment>
    <comment ref="J46" authorId="1" shapeId="0" xr:uid="{3B5731B3-0F58-4C55-8B91-8D0C6447AA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asusten, asi de pendejo esta ese equipo de secado</t>
      </text>
    </comment>
  </commentList>
</comments>
</file>

<file path=xl/sharedStrings.xml><?xml version="1.0" encoding="utf-8"?>
<sst xmlns="http://schemas.openxmlformats.org/spreadsheetml/2006/main" count="177" uniqueCount="57">
  <si>
    <t>Medición</t>
  </si>
  <si>
    <t>Tiempo (min)</t>
  </si>
  <si>
    <t>Peso  (g)</t>
  </si>
  <si>
    <t>Flujo m/s</t>
  </si>
  <si>
    <t>ENTRADA</t>
  </si>
  <si>
    <t>SALIDA</t>
  </si>
  <si>
    <t>Temperatura °C</t>
  </si>
  <si>
    <t>Humedad %</t>
  </si>
  <si>
    <t>Grosor</t>
  </si>
  <si>
    <t xml:space="preserve">Humedad del ambiente </t>
  </si>
  <si>
    <t>13.49 mm</t>
  </si>
  <si>
    <t>Quique, otra víctima del termómetro de salida</t>
  </si>
  <si>
    <t>Noooooo</t>
  </si>
  <si>
    <t xml:space="preserve">la cinta de la puerta se despegó </t>
  </si>
  <si>
    <t xml:space="preserve">la cinta de la puertita de despegó </t>
  </si>
  <si>
    <t xml:space="preserve">Velocidad de secado </t>
  </si>
  <si>
    <t xml:space="preserve">W=peso del sólido húmedo </t>
  </si>
  <si>
    <t xml:space="preserve">Ws= peso del sólido seco </t>
  </si>
  <si>
    <t>Dimensiones de la charolas</t>
  </si>
  <si>
    <t xml:space="preserve">Ancho </t>
  </si>
  <si>
    <t>m</t>
  </si>
  <si>
    <t>Dimensiones del pan</t>
  </si>
  <si>
    <t xml:space="preserve">R= velocidad de secado </t>
  </si>
  <si>
    <t>Largo</t>
  </si>
  <si>
    <t xml:space="preserve">Ls= kg de sólido seco usado </t>
  </si>
  <si>
    <t>alto</t>
  </si>
  <si>
    <t>Alto</t>
  </si>
  <si>
    <t xml:space="preserve">A= área superficial </t>
  </si>
  <si>
    <t xml:space="preserve">Área </t>
  </si>
  <si>
    <t>Área superficial para cada pieza de pan</t>
  </si>
  <si>
    <t>Panes por charola</t>
  </si>
  <si>
    <t xml:space="preserve">Total de charolas </t>
  </si>
  <si>
    <t>Área superficial total</t>
  </si>
  <si>
    <t>m^2</t>
  </si>
  <si>
    <t xml:space="preserve">Charola </t>
  </si>
  <si>
    <t xml:space="preserve">Peso del sólido seco </t>
  </si>
  <si>
    <t xml:space="preserve">X=Humedad libre </t>
  </si>
  <si>
    <t xml:space="preserve">X*=Humedad de equilibrio </t>
  </si>
  <si>
    <t>Entrada</t>
  </si>
  <si>
    <t xml:space="preserve">g de pan </t>
  </si>
  <si>
    <t>Ws</t>
  </si>
  <si>
    <t>X*</t>
  </si>
  <si>
    <t>Kg de agua libre/kg de sólido seco</t>
  </si>
  <si>
    <t>Xt</t>
  </si>
  <si>
    <t>X</t>
  </si>
  <si>
    <t>R</t>
  </si>
  <si>
    <t xml:space="preserve">Promedio </t>
  </si>
  <si>
    <t>Entrada de túnel.</t>
  </si>
  <si>
    <t>Salida de túnel.</t>
  </si>
  <si>
    <r>
      <t>X</t>
    </r>
    <r>
      <rPr>
        <b/>
        <vertAlign val="subscript"/>
        <sz val="9"/>
        <color theme="0"/>
        <rFont val="Arial"/>
        <family val="2"/>
      </rPr>
      <t>t</t>
    </r>
    <r>
      <rPr>
        <vertAlign val="subscript"/>
        <sz val="9"/>
        <color theme="0"/>
        <rFont val="Arial"/>
        <family val="2"/>
      </rPr>
      <t xml:space="preserve"> </t>
    </r>
    <r>
      <rPr>
        <sz val="9"/>
        <color theme="0"/>
        <rFont val="Arial"/>
        <family val="2"/>
      </rPr>
      <t xml:space="preserve"> (kg agua libre / kg sólido seco).</t>
    </r>
  </si>
  <si>
    <r>
      <rPr>
        <b/>
        <sz val="9"/>
        <color theme="0"/>
        <rFont val="Arial"/>
        <family val="2"/>
      </rPr>
      <t>X</t>
    </r>
    <r>
      <rPr>
        <sz val="9"/>
        <color theme="0"/>
        <rFont val="Arial"/>
        <family val="2"/>
      </rPr>
      <t xml:space="preserve"> Kg de agua libre/kg de sólido seco</t>
    </r>
  </si>
  <si>
    <r>
      <t>R</t>
    </r>
    <r>
      <rPr>
        <sz val="9"/>
        <color theme="0"/>
        <rFont val="Arial"/>
        <family val="2"/>
      </rPr>
      <t xml:space="preserve"> velocidad de secado (kg/min*m</t>
    </r>
    <r>
      <rPr>
        <vertAlign val="superscript"/>
        <sz val="9"/>
        <color theme="0"/>
        <rFont val="Arial"/>
        <family val="2"/>
      </rPr>
      <t>2</t>
    </r>
    <r>
      <rPr>
        <sz val="9"/>
        <color theme="0"/>
        <rFont val="Arial"/>
        <family val="2"/>
      </rPr>
      <t>)</t>
    </r>
  </si>
  <si>
    <r>
      <t>R</t>
    </r>
    <r>
      <rPr>
        <sz val="9"/>
        <color theme="0"/>
        <rFont val="Arial"/>
        <family val="2"/>
      </rPr>
      <t xml:space="preserve"> velocidad de secado (kg/h*m</t>
    </r>
    <r>
      <rPr>
        <vertAlign val="superscript"/>
        <sz val="9"/>
        <color theme="0"/>
        <rFont val="Arial"/>
        <family val="2"/>
      </rPr>
      <t>2</t>
    </r>
    <r>
      <rPr>
        <sz val="9"/>
        <color theme="0"/>
        <rFont val="Arial"/>
        <family val="2"/>
      </rPr>
      <t>)</t>
    </r>
  </si>
  <si>
    <r>
      <t>Promedio R</t>
    </r>
    <r>
      <rPr>
        <sz val="9"/>
        <color theme="0"/>
        <rFont val="Arial"/>
        <family val="2"/>
      </rPr>
      <t xml:space="preserve"> (kg/min*m</t>
    </r>
    <r>
      <rPr>
        <vertAlign val="superscript"/>
        <sz val="9"/>
        <color theme="0"/>
        <rFont val="Arial"/>
        <family val="2"/>
      </rPr>
      <t>2</t>
    </r>
    <r>
      <rPr>
        <sz val="9"/>
        <color theme="0"/>
        <rFont val="Arial"/>
        <family val="2"/>
      </rPr>
      <t>)</t>
    </r>
  </si>
  <si>
    <r>
      <t>Promedio R</t>
    </r>
    <r>
      <rPr>
        <sz val="9"/>
        <color theme="0"/>
        <rFont val="Arial"/>
        <family val="2"/>
      </rPr>
      <t xml:space="preserve"> (kg/h*m</t>
    </r>
    <r>
      <rPr>
        <vertAlign val="superscript"/>
        <sz val="9"/>
        <color theme="0"/>
        <rFont val="Arial"/>
        <family val="2"/>
      </rPr>
      <t>2</t>
    </r>
    <r>
      <rPr>
        <sz val="9"/>
        <color theme="0"/>
        <rFont val="Arial"/>
        <family val="2"/>
      </rPr>
      <t>)</t>
    </r>
  </si>
  <si>
    <t>Charaolas</t>
  </si>
  <si>
    <t>peso(g)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</si>
</sst>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vertAlign val="subscript"/>
      <sz val="9"/>
      <color theme="0"/>
      <name val="Arial"/>
      <family val="2"/>
    </font>
    <font>
      <vertAlign val="subscript"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vertAlign val="superscript"/>
      <sz val="9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F1D4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9" fontId="0" fillId="5" borderId="0" xfId="0" applyNumberFormat="1" applyFill="1"/>
    <xf numFmtId="0" fontId="0" fillId="0" borderId="0" xfId="0" applyAlignment="1">
      <alignment horizontal="center"/>
    </xf>
    <xf numFmtId="0" fontId="0" fillId="6" borderId="0" xfId="0" applyFill="1"/>
    <xf numFmtId="0" fontId="1" fillId="4" borderId="0" xfId="0" applyFont="1" applyFill="1" applyAlignment="1">
      <alignment vertic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0" fillId="7" borderId="0" xfId="0" applyFill="1" applyAlignment="1">
      <alignment wrapText="1"/>
    </xf>
    <xf numFmtId="0" fontId="0" fillId="7" borderId="0" xfId="0" applyFill="1"/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7" borderId="0" xfId="0" applyFont="1" applyFill="1" applyAlignment="1">
      <alignment wrapText="1"/>
    </xf>
    <xf numFmtId="0" fontId="2" fillId="7" borderId="0" xfId="0" applyFont="1" applyFill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20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0" fontId="3" fillId="10" borderId="1" xfId="0" applyNumberFormat="1" applyFont="1" applyFill="1" applyBorder="1" applyAlignment="1">
      <alignment horizontal="center" vertical="center"/>
    </xf>
    <xf numFmtId="20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0" fontId="4" fillId="1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E627D3A-A283-4808-944B-F4B656BE4110}"/>
  </tableStyles>
  <colors>
    <mruColors>
      <color rgb="FF6F1D45"/>
      <color rgb="FFCC3C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Peso del sólido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Original!$A$8:$A$62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Original!$C$8:$C$62</c:f>
              <c:numCache>
                <c:formatCode>General</c:formatCode>
                <c:ptCount val="55"/>
                <c:pt idx="0">
                  <c:v>1183</c:v>
                </c:pt>
                <c:pt idx="1">
                  <c:v>1164.2</c:v>
                </c:pt>
                <c:pt idx="2">
                  <c:v>1159.4000000000001</c:v>
                </c:pt>
                <c:pt idx="3">
                  <c:v>1154.8</c:v>
                </c:pt>
                <c:pt idx="4">
                  <c:v>1146.2</c:v>
                </c:pt>
                <c:pt idx="5">
                  <c:v>1139.3</c:v>
                </c:pt>
                <c:pt idx="6">
                  <c:v>1129.2</c:v>
                </c:pt>
                <c:pt idx="7">
                  <c:v>1122.4000000000001</c:v>
                </c:pt>
                <c:pt idx="8">
                  <c:v>1115</c:v>
                </c:pt>
                <c:pt idx="9">
                  <c:v>1106.3</c:v>
                </c:pt>
                <c:pt idx="10">
                  <c:v>1097.2</c:v>
                </c:pt>
                <c:pt idx="11">
                  <c:v>1090.5</c:v>
                </c:pt>
                <c:pt idx="12">
                  <c:v>1083.3</c:v>
                </c:pt>
                <c:pt idx="13">
                  <c:v>1075.7</c:v>
                </c:pt>
                <c:pt idx="14">
                  <c:v>1069</c:v>
                </c:pt>
                <c:pt idx="15">
                  <c:v>1062.3</c:v>
                </c:pt>
                <c:pt idx="16">
                  <c:v>1054.9000000000001</c:v>
                </c:pt>
                <c:pt idx="17">
                  <c:v>1050.0999999999999</c:v>
                </c:pt>
                <c:pt idx="18">
                  <c:v>1041</c:v>
                </c:pt>
                <c:pt idx="19">
                  <c:v>1035.5999999999999</c:v>
                </c:pt>
                <c:pt idx="20">
                  <c:v>1029.5</c:v>
                </c:pt>
                <c:pt idx="21">
                  <c:v>1023</c:v>
                </c:pt>
                <c:pt idx="22">
                  <c:v>1016.3</c:v>
                </c:pt>
                <c:pt idx="23">
                  <c:v>1011</c:v>
                </c:pt>
                <c:pt idx="24">
                  <c:v>1004</c:v>
                </c:pt>
                <c:pt idx="25">
                  <c:v>1000</c:v>
                </c:pt>
                <c:pt idx="26">
                  <c:v>995</c:v>
                </c:pt>
                <c:pt idx="27">
                  <c:v>990</c:v>
                </c:pt>
                <c:pt idx="28">
                  <c:v>984</c:v>
                </c:pt>
                <c:pt idx="29">
                  <c:v>980</c:v>
                </c:pt>
                <c:pt idx="30">
                  <c:v>973</c:v>
                </c:pt>
                <c:pt idx="31">
                  <c:v>970</c:v>
                </c:pt>
                <c:pt idx="32">
                  <c:v>964</c:v>
                </c:pt>
                <c:pt idx="33">
                  <c:v>960</c:v>
                </c:pt>
                <c:pt idx="34">
                  <c:v>955</c:v>
                </c:pt>
                <c:pt idx="35">
                  <c:v>950</c:v>
                </c:pt>
                <c:pt idx="36">
                  <c:v>946</c:v>
                </c:pt>
                <c:pt idx="37">
                  <c:v>943</c:v>
                </c:pt>
                <c:pt idx="38">
                  <c:v>937.9</c:v>
                </c:pt>
                <c:pt idx="39">
                  <c:v>933.4</c:v>
                </c:pt>
                <c:pt idx="40">
                  <c:v>933.4</c:v>
                </c:pt>
                <c:pt idx="41">
                  <c:v>924.6</c:v>
                </c:pt>
                <c:pt idx="42">
                  <c:v>923.5</c:v>
                </c:pt>
                <c:pt idx="43">
                  <c:v>919</c:v>
                </c:pt>
                <c:pt idx="44">
                  <c:v>915.1</c:v>
                </c:pt>
                <c:pt idx="45">
                  <c:v>911</c:v>
                </c:pt>
                <c:pt idx="46">
                  <c:v>909.3</c:v>
                </c:pt>
                <c:pt idx="47">
                  <c:v>906.5</c:v>
                </c:pt>
                <c:pt idx="48">
                  <c:v>904</c:v>
                </c:pt>
                <c:pt idx="49">
                  <c:v>901</c:v>
                </c:pt>
                <c:pt idx="50">
                  <c:v>898</c:v>
                </c:pt>
                <c:pt idx="51">
                  <c:v>894</c:v>
                </c:pt>
                <c:pt idx="52">
                  <c:v>892</c:v>
                </c:pt>
                <c:pt idx="53">
                  <c:v>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90-4DE8-BADD-180CFAF2D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Masa</a:t>
                </a:r>
                <a:r>
                  <a:rPr lang="es-MX" baseline="0"/>
                  <a:t> del sólido (g)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Flujo de 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Original!$A$8:$A$62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Original!$D$8:$D$62</c:f>
              <c:numCache>
                <c:formatCode>General</c:formatCode>
                <c:ptCount val="55"/>
                <c:pt idx="0">
                  <c:v>1.3</c:v>
                </c:pt>
                <c:pt idx="1">
                  <c:v>1.35</c:v>
                </c:pt>
                <c:pt idx="2">
                  <c:v>1.32</c:v>
                </c:pt>
                <c:pt idx="3">
                  <c:v>1.25</c:v>
                </c:pt>
                <c:pt idx="4">
                  <c:v>1.26</c:v>
                </c:pt>
                <c:pt idx="5">
                  <c:v>1.25</c:v>
                </c:pt>
                <c:pt idx="6">
                  <c:v>1.21</c:v>
                </c:pt>
                <c:pt idx="7">
                  <c:v>1.21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1.07</c:v>
                </c:pt>
                <c:pt idx="14">
                  <c:v>1.1000000000000001</c:v>
                </c:pt>
                <c:pt idx="15">
                  <c:v>1</c:v>
                </c:pt>
                <c:pt idx="16">
                  <c:v>1</c:v>
                </c:pt>
                <c:pt idx="17">
                  <c:v>0.9</c:v>
                </c:pt>
                <c:pt idx="18">
                  <c:v>1.1000000000000001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1.2</c:v>
                </c:pt>
                <c:pt idx="32">
                  <c:v>1.3</c:v>
                </c:pt>
                <c:pt idx="33">
                  <c:v>1.3</c:v>
                </c:pt>
                <c:pt idx="34">
                  <c:v>1.4</c:v>
                </c:pt>
                <c:pt idx="35">
                  <c:v>1.3</c:v>
                </c:pt>
                <c:pt idx="36">
                  <c:v>1.3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1.2</c:v>
                </c:pt>
                <c:pt idx="41">
                  <c:v>1.29</c:v>
                </c:pt>
                <c:pt idx="42">
                  <c:v>1.31</c:v>
                </c:pt>
                <c:pt idx="43">
                  <c:v>1.29</c:v>
                </c:pt>
                <c:pt idx="44">
                  <c:v>1.32</c:v>
                </c:pt>
                <c:pt idx="45">
                  <c:v>1.32</c:v>
                </c:pt>
                <c:pt idx="46">
                  <c:v>1.35</c:v>
                </c:pt>
                <c:pt idx="47">
                  <c:v>1.35</c:v>
                </c:pt>
                <c:pt idx="48">
                  <c:v>1.34</c:v>
                </c:pt>
                <c:pt idx="49">
                  <c:v>1.4</c:v>
                </c:pt>
                <c:pt idx="50">
                  <c:v>1.4</c:v>
                </c:pt>
                <c:pt idx="51">
                  <c:v>1.35</c:v>
                </c:pt>
                <c:pt idx="52">
                  <c:v>1.35</c:v>
                </c:pt>
                <c:pt idx="53">
                  <c:v>1.33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F7-4A6D-BB10-92692DEA0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Velocidad lineal</a:t>
                </a:r>
                <a:r>
                  <a:rPr lang="es-MX" baseline="0"/>
                  <a:t> (m/s)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Temperatura de</a:t>
            </a:r>
            <a:r>
              <a:rPr lang="es-MX" baseline="0"/>
              <a:t> entrada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Original!$A$8:$A$62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Original!$E$8:$E$62</c:f>
              <c:numCache>
                <c:formatCode>General</c:formatCode>
                <c:ptCount val="55"/>
                <c:pt idx="0">
                  <c:v>25.9</c:v>
                </c:pt>
                <c:pt idx="1">
                  <c:v>21.22</c:v>
                </c:pt>
                <c:pt idx="2">
                  <c:v>20.8</c:v>
                </c:pt>
                <c:pt idx="3">
                  <c:v>20.8</c:v>
                </c:pt>
                <c:pt idx="4">
                  <c:v>21.1</c:v>
                </c:pt>
                <c:pt idx="5">
                  <c:v>21.4</c:v>
                </c:pt>
                <c:pt idx="6">
                  <c:v>21.8</c:v>
                </c:pt>
                <c:pt idx="7">
                  <c:v>22.1</c:v>
                </c:pt>
                <c:pt idx="8">
                  <c:v>22.3</c:v>
                </c:pt>
                <c:pt idx="9">
                  <c:v>22.6</c:v>
                </c:pt>
                <c:pt idx="10">
                  <c:v>22.7</c:v>
                </c:pt>
                <c:pt idx="11">
                  <c:v>22.7</c:v>
                </c:pt>
                <c:pt idx="12">
                  <c:v>23</c:v>
                </c:pt>
                <c:pt idx="13">
                  <c:v>23.1</c:v>
                </c:pt>
                <c:pt idx="14">
                  <c:v>23.2</c:v>
                </c:pt>
                <c:pt idx="15">
                  <c:v>23.3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>
                  <c:v>23.7</c:v>
                </c:pt>
                <c:pt idx="20">
                  <c:v>24</c:v>
                </c:pt>
                <c:pt idx="21">
                  <c:v>24</c:v>
                </c:pt>
                <c:pt idx="22">
                  <c:v>24.1</c:v>
                </c:pt>
                <c:pt idx="23">
                  <c:v>24.1</c:v>
                </c:pt>
                <c:pt idx="24">
                  <c:v>24.3</c:v>
                </c:pt>
                <c:pt idx="25">
                  <c:v>24.2</c:v>
                </c:pt>
                <c:pt idx="26">
                  <c:v>24.2</c:v>
                </c:pt>
                <c:pt idx="27">
                  <c:v>24.5</c:v>
                </c:pt>
                <c:pt idx="28">
                  <c:v>24.6</c:v>
                </c:pt>
                <c:pt idx="29">
                  <c:v>24.6</c:v>
                </c:pt>
                <c:pt idx="30">
                  <c:v>24.8</c:v>
                </c:pt>
                <c:pt idx="31">
                  <c:v>24.7</c:v>
                </c:pt>
                <c:pt idx="32">
                  <c:v>24.8</c:v>
                </c:pt>
                <c:pt idx="33">
                  <c:v>24.8</c:v>
                </c:pt>
                <c:pt idx="34">
                  <c:v>24.9</c:v>
                </c:pt>
                <c:pt idx="35">
                  <c:v>24.9</c:v>
                </c:pt>
                <c:pt idx="36">
                  <c:v>25</c:v>
                </c:pt>
                <c:pt idx="37">
                  <c:v>24.9</c:v>
                </c:pt>
                <c:pt idx="38">
                  <c:v>24.8</c:v>
                </c:pt>
                <c:pt idx="39">
                  <c:v>24.9</c:v>
                </c:pt>
                <c:pt idx="40">
                  <c:v>24.9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24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BC-4FB7-8CA6-B38026DBE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28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Temperatura en</a:t>
                </a:r>
                <a:r>
                  <a:rPr lang="es-MX" baseline="0"/>
                  <a:t> el túnel (°C)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Temperatura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Original!$A$8:$A$62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Original!$G$8:$G$62</c:f>
              <c:numCache>
                <c:formatCode>General</c:formatCode>
                <c:ptCount val="55"/>
                <c:pt idx="0">
                  <c:v>20.3</c:v>
                </c:pt>
                <c:pt idx="1">
                  <c:v>19.8</c:v>
                </c:pt>
                <c:pt idx="2">
                  <c:v>19.399999999999999</c:v>
                </c:pt>
                <c:pt idx="3">
                  <c:v>19.2</c:v>
                </c:pt>
                <c:pt idx="4">
                  <c:v>20.100000000000001</c:v>
                </c:pt>
                <c:pt idx="5">
                  <c:v>20.399999999999999</c:v>
                </c:pt>
                <c:pt idx="6">
                  <c:v>20.7</c:v>
                </c:pt>
                <c:pt idx="7">
                  <c:v>20.9</c:v>
                </c:pt>
                <c:pt idx="8">
                  <c:v>21.2</c:v>
                </c:pt>
                <c:pt idx="9">
                  <c:v>13.3</c:v>
                </c:pt>
                <c:pt idx="10">
                  <c:v>13.1</c:v>
                </c:pt>
                <c:pt idx="11">
                  <c:v>21.6</c:v>
                </c:pt>
                <c:pt idx="12">
                  <c:v>13.1</c:v>
                </c:pt>
                <c:pt idx="13">
                  <c:v>13.2</c:v>
                </c:pt>
                <c:pt idx="14">
                  <c:v>22</c:v>
                </c:pt>
                <c:pt idx="15">
                  <c:v>22.1</c:v>
                </c:pt>
                <c:pt idx="16">
                  <c:v>22.2</c:v>
                </c:pt>
                <c:pt idx="17">
                  <c:v>22.2</c:v>
                </c:pt>
                <c:pt idx="18">
                  <c:v>22.5</c:v>
                </c:pt>
                <c:pt idx="19">
                  <c:v>13.7</c:v>
                </c:pt>
                <c:pt idx="20">
                  <c:v>22.6</c:v>
                </c:pt>
                <c:pt idx="21">
                  <c:v>22.6</c:v>
                </c:pt>
                <c:pt idx="22">
                  <c:v>22.7</c:v>
                </c:pt>
                <c:pt idx="23">
                  <c:v>22.8</c:v>
                </c:pt>
                <c:pt idx="24">
                  <c:v>22.9</c:v>
                </c:pt>
                <c:pt idx="25">
                  <c:v>22.8</c:v>
                </c:pt>
                <c:pt idx="26">
                  <c:v>22.9</c:v>
                </c:pt>
                <c:pt idx="27">
                  <c:v>23.1</c:v>
                </c:pt>
                <c:pt idx="28">
                  <c:v>23.1</c:v>
                </c:pt>
                <c:pt idx="29">
                  <c:v>23.3</c:v>
                </c:pt>
                <c:pt idx="30">
                  <c:v>23.3</c:v>
                </c:pt>
                <c:pt idx="31">
                  <c:v>23.3</c:v>
                </c:pt>
                <c:pt idx="32">
                  <c:v>23.4</c:v>
                </c:pt>
                <c:pt idx="33">
                  <c:v>23.3</c:v>
                </c:pt>
                <c:pt idx="34">
                  <c:v>23.5</c:v>
                </c:pt>
                <c:pt idx="35">
                  <c:v>23.5</c:v>
                </c:pt>
                <c:pt idx="36">
                  <c:v>23.6</c:v>
                </c:pt>
                <c:pt idx="37">
                  <c:v>23.5</c:v>
                </c:pt>
                <c:pt idx="38">
                  <c:v>23.5</c:v>
                </c:pt>
                <c:pt idx="39">
                  <c:v>23.8</c:v>
                </c:pt>
                <c:pt idx="40">
                  <c:v>23.4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23.9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BC-4FB7-8CA6-B38026DBE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Temperatura</a:t>
                </a:r>
                <a:r>
                  <a:rPr lang="es-MX" baseline="0"/>
                  <a:t> en el túnel (°C)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Humedad de entrada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Original!$A$8:$A$62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Original!$F$8:$F$62</c:f>
              <c:numCache>
                <c:formatCode>0.00%</c:formatCode>
                <c:ptCount val="55"/>
                <c:pt idx="0">
                  <c:v>0.45</c:v>
                </c:pt>
                <c:pt idx="1">
                  <c:v>0.56399999999999995</c:v>
                </c:pt>
                <c:pt idx="2">
                  <c:v>0.57899999999999996</c:v>
                </c:pt>
                <c:pt idx="3">
                  <c:v>0.58299999999999996</c:v>
                </c:pt>
                <c:pt idx="4">
                  <c:v>0.57999999999999996</c:v>
                </c:pt>
                <c:pt idx="5">
                  <c:v>0.57399999999999995</c:v>
                </c:pt>
                <c:pt idx="6">
                  <c:v>0.56699999999999995</c:v>
                </c:pt>
                <c:pt idx="7">
                  <c:v>0.56200000000000006</c:v>
                </c:pt>
                <c:pt idx="8">
                  <c:v>0.55900000000000005</c:v>
                </c:pt>
                <c:pt idx="9">
                  <c:v>0.55900000000000005</c:v>
                </c:pt>
                <c:pt idx="10">
                  <c:v>0.55400000000000005</c:v>
                </c:pt>
                <c:pt idx="11">
                  <c:v>0.55400000000000005</c:v>
                </c:pt>
                <c:pt idx="12">
                  <c:v>0.54300000000000004</c:v>
                </c:pt>
                <c:pt idx="13">
                  <c:v>0.54200000000000004</c:v>
                </c:pt>
                <c:pt idx="14">
                  <c:v>0.54100000000000004</c:v>
                </c:pt>
                <c:pt idx="15">
                  <c:v>0.54400000000000004</c:v>
                </c:pt>
                <c:pt idx="16">
                  <c:v>0.54</c:v>
                </c:pt>
                <c:pt idx="17">
                  <c:v>0.53200000000000003</c:v>
                </c:pt>
                <c:pt idx="18">
                  <c:v>0.53500000000000003</c:v>
                </c:pt>
                <c:pt idx="19">
                  <c:v>0.53800000000000003</c:v>
                </c:pt>
                <c:pt idx="20">
                  <c:v>0.53100000000000003</c:v>
                </c:pt>
                <c:pt idx="21">
                  <c:v>0.53400000000000003</c:v>
                </c:pt>
                <c:pt idx="22">
                  <c:v>0.52300000000000002</c:v>
                </c:pt>
                <c:pt idx="23">
                  <c:v>0.52300000000000002</c:v>
                </c:pt>
                <c:pt idx="24">
                  <c:v>0.51800000000000002</c:v>
                </c:pt>
                <c:pt idx="25">
                  <c:v>0.51900000000000002</c:v>
                </c:pt>
                <c:pt idx="26">
                  <c:v>0.52</c:v>
                </c:pt>
                <c:pt idx="27">
                  <c:v>0.50800000000000001</c:v>
                </c:pt>
                <c:pt idx="28">
                  <c:v>0.5</c:v>
                </c:pt>
                <c:pt idx="29">
                  <c:v>0.502</c:v>
                </c:pt>
                <c:pt idx="30">
                  <c:v>0.501</c:v>
                </c:pt>
                <c:pt idx="31">
                  <c:v>0.503</c:v>
                </c:pt>
                <c:pt idx="32">
                  <c:v>0.5</c:v>
                </c:pt>
                <c:pt idx="33">
                  <c:v>0.504</c:v>
                </c:pt>
                <c:pt idx="34">
                  <c:v>0.505</c:v>
                </c:pt>
                <c:pt idx="35">
                  <c:v>0.50600000000000001</c:v>
                </c:pt>
                <c:pt idx="36">
                  <c:v>0.49399999999999999</c:v>
                </c:pt>
                <c:pt idx="37">
                  <c:v>0.49399999999999999</c:v>
                </c:pt>
                <c:pt idx="38">
                  <c:v>0.497</c:v>
                </c:pt>
                <c:pt idx="39">
                  <c:v>0.48799999999999999</c:v>
                </c:pt>
                <c:pt idx="40">
                  <c:v>0.48799999999999999</c:v>
                </c:pt>
                <c:pt idx="41">
                  <c:v>0.48599999999999999</c:v>
                </c:pt>
                <c:pt idx="42">
                  <c:v>0.48799999999999999</c:v>
                </c:pt>
                <c:pt idx="43">
                  <c:v>0.48599999999999999</c:v>
                </c:pt>
                <c:pt idx="44">
                  <c:v>0.497</c:v>
                </c:pt>
                <c:pt idx="45">
                  <c:v>0.505</c:v>
                </c:pt>
                <c:pt idx="46">
                  <c:v>0.51200000000000001</c:v>
                </c:pt>
                <c:pt idx="47">
                  <c:v>0.51700000000000002</c:v>
                </c:pt>
                <c:pt idx="48">
                  <c:v>0.52900000000000003</c:v>
                </c:pt>
                <c:pt idx="49">
                  <c:v>0.53600000000000003</c:v>
                </c:pt>
                <c:pt idx="50">
                  <c:v>0.54</c:v>
                </c:pt>
                <c:pt idx="51">
                  <c:v>0.54700000000000004</c:v>
                </c:pt>
                <c:pt idx="52">
                  <c:v>0.55299999999999994</c:v>
                </c:pt>
                <c:pt idx="53">
                  <c:v>0.56000000000000005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E9-403C-8363-50FD9BCE3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  <a:r>
                  <a:rPr lang="es-MX" baseline="0"/>
                  <a:t> (min)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0.6500000000000001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Humedad relativa del</a:t>
                </a:r>
                <a:r>
                  <a:rPr lang="es-MX" baseline="0"/>
                  <a:t> túnel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Humedad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Original!$A$9:$A$62</c:f>
              <c:numCache>
                <c:formatCode>General</c:formatCode>
                <c:ptCount val="5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</c:numCache>
            </c:numRef>
          </c:xVal>
          <c:yVal>
            <c:numRef>
              <c:f>Original!$H$9:$H$62</c:f>
              <c:numCache>
                <c:formatCode>0.00%</c:formatCode>
                <c:ptCount val="54"/>
                <c:pt idx="0">
                  <c:v>0.622</c:v>
                </c:pt>
                <c:pt idx="1">
                  <c:v>0.627</c:v>
                </c:pt>
                <c:pt idx="2">
                  <c:v>0.621</c:v>
                </c:pt>
                <c:pt idx="3">
                  <c:v>0.622</c:v>
                </c:pt>
                <c:pt idx="4">
                  <c:v>0.61199999999999999</c:v>
                </c:pt>
                <c:pt idx="5">
                  <c:v>0.60699999999999998</c:v>
                </c:pt>
                <c:pt idx="6">
                  <c:v>0.60299999999999998</c:v>
                </c:pt>
                <c:pt idx="7">
                  <c:v>0.59699999999999998</c:v>
                </c:pt>
                <c:pt idx="8">
                  <c:v>0.59499999999999997</c:v>
                </c:pt>
                <c:pt idx="9">
                  <c:v>0.59299999999999997</c:v>
                </c:pt>
                <c:pt idx="10">
                  <c:v>0.59099999999999997</c:v>
                </c:pt>
                <c:pt idx="11">
                  <c:v>0.57899999999999996</c:v>
                </c:pt>
                <c:pt idx="12">
                  <c:v>0.58199999999999996</c:v>
                </c:pt>
                <c:pt idx="13">
                  <c:v>0.57899999999999996</c:v>
                </c:pt>
                <c:pt idx="14">
                  <c:v>0.57899999999999996</c:v>
                </c:pt>
                <c:pt idx="15">
                  <c:v>0.57199999999999995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0.57199999999999995</c:v>
                </c:pt>
                <c:pt idx="19">
                  <c:v>0.56999999999999995</c:v>
                </c:pt>
                <c:pt idx="20">
                  <c:v>0.56899999999999995</c:v>
                </c:pt>
                <c:pt idx="21">
                  <c:v>0.55800000000000005</c:v>
                </c:pt>
                <c:pt idx="22">
                  <c:v>0.55700000000000005</c:v>
                </c:pt>
                <c:pt idx="23">
                  <c:v>0.55200000000000005</c:v>
                </c:pt>
                <c:pt idx="24">
                  <c:v>0.55400000000000005</c:v>
                </c:pt>
                <c:pt idx="25">
                  <c:v>0.55300000000000005</c:v>
                </c:pt>
                <c:pt idx="26">
                  <c:v>0.54100000000000004</c:v>
                </c:pt>
                <c:pt idx="27">
                  <c:v>0.53600000000000003</c:v>
                </c:pt>
                <c:pt idx="28">
                  <c:v>0.53200000000000003</c:v>
                </c:pt>
                <c:pt idx="29">
                  <c:v>0.53500000000000003</c:v>
                </c:pt>
                <c:pt idx="30">
                  <c:v>0.53300000000000003</c:v>
                </c:pt>
                <c:pt idx="31">
                  <c:v>0.53400000000000003</c:v>
                </c:pt>
                <c:pt idx="32">
                  <c:v>0.53600000000000003</c:v>
                </c:pt>
                <c:pt idx="33">
                  <c:v>0.53500000000000003</c:v>
                </c:pt>
                <c:pt idx="34">
                  <c:v>0.53500000000000003</c:v>
                </c:pt>
                <c:pt idx="35">
                  <c:v>0.52500000000000002</c:v>
                </c:pt>
                <c:pt idx="36">
                  <c:v>0.52400000000000002</c:v>
                </c:pt>
                <c:pt idx="37">
                  <c:v>0.52800000000000002</c:v>
                </c:pt>
                <c:pt idx="38">
                  <c:v>0.51700000000000002</c:v>
                </c:pt>
                <c:pt idx="39">
                  <c:v>0.52300000000000002</c:v>
                </c:pt>
                <c:pt idx="40">
                  <c:v>0.48399999999999999</c:v>
                </c:pt>
                <c:pt idx="41">
                  <c:v>0.49</c:v>
                </c:pt>
                <c:pt idx="42">
                  <c:v>0.48899999999999999</c:v>
                </c:pt>
                <c:pt idx="43">
                  <c:v>0.499</c:v>
                </c:pt>
                <c:pt idx="44">
                  <c:v>0.51100000000000001</c:v>
                </c:pt>
                <c:pt idx="45">
                  <c:v>0.51300000000000001</c:v>
                </c:pt>
                <c:pt idx="46">
                  <c:v>0.51900000000000002</c:v>
                </c:pt>
                <c:pt idx="47">
                  <c:v>0.53200000000000003</c:v>
                </c:pt>
                <c:pt idx="48">
                  <c:v>0.53700000000000003</c:v>
                </c:pt>
                <c:pt idx="49">
                  <c:v>0.54200000000000004</c:v>
                </c:pt>
                <c:pt idx="50">
                  <c:v>0.55100000000000005</c:v>
                </c:pt>
                <c:pt idx="51">
                  <c:v>0.55399999999999994</c:v>
                </c:pt>
                <c:pt idx="52">
                  <c:v>0.56200000000000006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4A-46F8-B7AF-84B7AA73F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Humedad relativa del túnel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Temperatura en el túnel</a:t>
            </a:r>
          </a:p>
        </c:rich>
      </c:tx>
      <c:layout>
        <c:manualLayout>
          <c:xMode val="edge"/>
          <c:yMode val="edge"/>
          <c:x val="0.30026741685514063"/>
          <c:y val="2.7380947675440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Entrada</c:v>
          </c:tx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Original!$A$8:$A$61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Original!$E$8:$E$61</c:f>
              <c:numCache>
                <c:formatCode>General</c:formatCode>
                <c:ptCount val="54"/>
                <c:pt idx="0">
                  <c:v>25.9</c:v>
                </c:pt>
                <c:pt idx="1">
                  <c:v>21.22</c:v>
                </c:pt>
                <c:pt idx="2">
                  <c:v>20.8</c:v>
                </c:pt>
                <c:pt idx="3">
                  <c:v>20.8</c:v>
                </c:pt>
                <c:pt idx="4">
                  <c:v>21.1</c:v>
                </c:pt>
                <c:pt idx="5">
                  <c:v>21.4</c:v>
                </c:pt>
                <c:pt idx="6">
                  <c:v>21.8</c:v>
                </c:pt>
                <c:pt idx="7">
                  <c:v>22.1</c:v>
                </c:pt>
                <c:pt idx="8">
                  <c:v>22.3</c:v>
                </c:pt>
                <c:pt idx="9">
                  <c:v>22.6</c:v>
                </c:pt>
                <c:pt idx="10">
                  <c:v>22.7</c:v>
                </c:pt>
                <c:pt idx="11">
                  <c:v>22.7</c:v>
                </c:pt>
                <c:pt idx="12">
                  <c:v>23</c:v>
                </c:pt>
                <c:pt idx="13">
                  <c:v>23.1</c:v>
                </c:pt>
                <c:pt idx="14">
                  <c:v>23.2</c:v>
                </c:pt>
                <c:pt idx="15">
                  <c:v>23.3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>
                  <c:v>23.7</c:v>
                </c:pt>
                <c:pt idx="20">
                  <c:v>24</c:v>
                </c:pt>
                <c:pt idx="21">
                  <c:v>24</c:v>
                </c:pt>
                <c:pt idx="22">
                  <c:v>24.1</c:v>
                </c:pt>
                <c:pt idx="23">
                  <c:v>24.1</c:v>
                </c:pt>
                <c:pt idx="24">
                  <c:v>24.3</c:v>
                </c:pt>
                <c:pt idx="25">
                  <c:v>24.2</c:v>
                </c:pt>
                <c:pt idx="26">
                  <c:v>24.2</c:v>
                </c:pt>
                <c:pt idx="27">
                  <c:v>24.5</c:v>
                </c:pt>
                <c:pt idx="28">
                  <c:v>24.6</c:v>
                </c:pt>
                <c:pt idx="29">
                  <c:v>24.6</c:v>
                </c:pt>
                <c:pt idx="30">
                  <c:v>24.8</c:v>
                </c:pt>
                <c:pt idx="31">
                  <c:v>24.7</c:v>
                </c:pt>
                <c:pt idx="32">
                  <c:v>24.8</c:v>
                </c:pt>
                <c:pt idx="33">
                  <c:v>24.8</c:v>
                </c:pt>
                <c:pt idx="34">
                  <c:v>24.9</c:v>
                </c:pt>
                <c:pt idx="35">
                  <c:v>24.9</c:v>
                </c:pt>
                <c:pt idx="36">
                  <c:v>25</c:v>
                </c:pt>
                <c:pt idx="37">
                  <c:v>24.9</c:v>
                </c:pt>
                <c:pt idx="38">
                  <c:v>24.8</c:v>
                </c:pt>
                <c:pt idx="39">
                  <c:v>24.9</c:v>
                </c:pt>
                <c:pt idx="40">
                  <c:v>24.9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24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33-467C-A772-9A6D64D8BF25}"/>
            </c:ext>
          </c:extLst>
        </c:ser>
        <c:ser>
          <c:idx val="1"/>
          <c:order val="1"/>
          <c:tx>
            <c:v>Salida</c:v>
          </c:tx>
          <c:spPr>
            <a:ln w="19050" cap="rnd">
              <a:solidFill>
                <a:srgbClr val="CC3C8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CC3C81"/>
              </a:solidFill>
              <a:ln w="9525">
                <a:noFill/>
              </a:ln>
              <a:effectLst/>
            </c:spPr>
          </c:marker>
          <c:xVal>
            <c:numRef>
              <c:f>Original!$A$8:$A$61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Original!$G$8:$G$61</c:f>
              <c:numCache>
                <c:formatCode>General</c:formatCode>
                <c:ptCount val="54"/>
                <c:pt idx="0">
                  <c:v>20.3</c:v>
                </c:pt>
                <c:pt idx="1">
                  <c:v>19.8</c:v>
                </c:pt>
                <c:pt idx="2">
                  <c:v>19.399999999999999</c:v>
                </c:pt>
                <c:pt idx="3">
                  <c:v>19.2</c:v>
                </c:pt>
                <c:pt idx="4">
                  <c:v>20.100000000000001</c:v>
                </c:pt>
                <c:pt idx="5">
                  <c:v>20.399999999999999</c:v>
                </c:pt>
                <c:pt idx="6">
                  <c:v>20.7</c:v>
                </c:pt>
                <c:pt idx="7">
                  <c:v>20.9</c:v>
                </c:pt>
                <c:pt idx="8">
                  <c:v>21.2</c:v>
                </c:pt>
                <c:pt idx="9">
                  <c:v>13.3</c:v>
                </c:pt>
                <c:pt idx="10">
                  <c:v>13.1</c:v>
                </c:pt>
                <c:pt idx="11">
                  <c:v>21.6</c:v>
                </c:pt>
                <c:pt idx="12">
                  <c:v>13.1</c:v>
                </c:pt>
                <c:pt idx="13">
                  <c:v>13.2</c:v>
                </c:pt>
                <c:pt idx="14">
                  <c:v>22</c:v>
                </c:pt>
                <c:pt idx="15">
                  <c:v>22.1</c:v>
                </c:pt>
                <c:pt idx="16">
                  <c:v>22.2</c:v>
                </c:pt>
                <c:pt idx="17">
                  <c:v>22.2</c:v>
                </c:pt>
                <c:pt idx="18">
                  <c:v>22.5</c:v>
                </c:pt>
                <c:pt idx="19">
                  <c:v>13.7</c:v>
                </c:pt>
                <c:pt idx="20">
                  <c:v>22.6</c:v>
                </c:pt>
                <c:pt idx="21">
                  <c:v>22.6</c:v>
                </c:pt>
                <c:pt idx="22">
                  <c:v>22.7</c:v>
                </c:pt>
                <c:pt idx="23">
                  <c:v>22.8</c:v>
                </c:pt>
                <c:pt idx="24">
                  <c:v>22.9</c:v>
                </c:pt>
                <c:pt idx="25">
                  <c:v>22.8</c:v>
                </c:pt>
                <c:pt idx="26">
                  <c:v>22.9</c:v>
                </c:pt>
                <c:pt idx="27">
                  <c:v>23.1</c:v>
                </c:pt>
                <c:pt idx="28">
                  <c:v>23.1</c:v>
                </c:pt>
                <c:pt idx="29">
                  <c:v>23.3</c:v>
                </c:pt>
                <c:pt idx="30">
                  <c:v>23.3</c:v>
                </c:pt>
                <c:pt idx="31">
                  <c:v>23.3</c:v>
                </c:pt>
                <c:pt idx="32">
                  <c:v>23.4</c:v>
                </c:pt>
                <c:pt idx="33">
                  <c:v>23.3</c:v>
                </c:pt>
                <c:pt idx="34">
                  <c:v>23.5</c:v>
                </c:pt>
                <c:pt idx="35">
                  <c:v>23.5</c:v>
                </c:pt>
                <c:pt idx="36">
                  <c:v>23.6</c:v>
                </c:pt>
                <c:pt idx="37">
                  <c:v>23.5</c:v>
                </c:pt>
                <c:pt idx="38">
                  <c:v>23.5</c:v>
                </c:pt>
                <c:pt idx="39">
                  <c:v>23.8</c:v>
                </c:pt>
                <c:pt idx="40">
                  <c:v>23.4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23.9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3-467C-A772-9A6D64D8B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2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Temperatura en</a:t>
                </a:r>
                <a:r>
                  <a:rPr lang="es-MX" baseline="0"/>
                  <a:t> el túnel (°C)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23967845005013"/>
          <c:y val="0.61515632829789146"/>
          <c:w val="0.17221153517861393"/>
          <c:h val="0.1586549779466960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Humedad en el túnel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Entrada</c:v>
          </c:tx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Original!$A$8:$A$61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Original!$F$8:$F$61</c:f>
              <c:numCache>
                <c:formatCode>0.00%</c:formatCode>
                <c:ptCount val="54"/>
                <c:pt idx="0">
                  <c:v>0.45</c:v>
                </c:pt>
                <c:pt idx="1">
                  <c:v>0.56399999999999995</c:v>
                </c:pt>
                <c:pt idx="2">
                  <c:v>0.57899999999999996</c:v>
                </c:pt>
                <c:pt idx="3">
                  <c:v>0.58299999999999996</c:v>
                </c:pt>
                <c:pt idx="4">
                  <c:v>0.57999999999999996</c:v>
                </c:pt>
                <c:pt idx="5">
                  <c:v>0.57399999999999995</c:v>
                </c:pt>
                <c:pt idx="6">
                  <c:v>0.56699999999999995</c:v>
                </c:pt>
                <c:pt idx="7">
                  <c:v>0.56200000000000006</c:v>
                </c:pt>
                <c:pt idx="8">
                  <c:v>0.55900000000000005</c:v>
                </c:pt>
                <c:pt idx="9">
                  <c:v>0.55900000000000005</c:v>
                </c:pt>
                <c:pt idx="10">
                  <c:v>0.55400000000000005</c:v>
                </c:pt>
                <c:pt idx="11">
                  <c:v>0.55400000000000005</c:v>
                </c:pt>
                <c:pt idx="12">
                  <c:v>0.54300000000000004</c:v>
                </c:pt>
                <c:pt idx="13">
                  <c:v>0.54200000000000004</c:v>
                </c:pt>
                <c:pt idx="14">
                  <c:v>0.54100000000000004</c:v>
                </c:pt>
                <c:pt idx="15">
                  <c:v>0.54400000000000004</c:v>
                </c:pt>
                <c:pt idx="16">
                  <c:v>0.54</c:v>
                </c:pt>
                <c:pt idx="17">
                  <c:v>0.53200000000000003</c:v>
                </c:pt>
                <c:pt idx="18">
                  <c:v>0.53500000000000003</c:v>
                </c:pt>
                <c:pt idx="19">
                  <c:v>0.53800000000000003</c:v>
                </c:pt>
                <c:pt idx="20">
                  <c:v>0.53100000000000003</c:v>
                </c:pt>
                <c:pt idx="21">
                  <c:v>0.53400000000000003</c:v>
                </c:pt>
                <c:pt idx="22">
                  <c:v>0.52300000000000002</c:v>
                </c:pt>
                <c:pt idx="23">
                  <c:v>0.52300000000000002</c:v>
                </c:pt>
                <c:pt idx="24">
                  <c:v>0.51800000000000002</c:v>
                </c:pt>
                <c:pt idx="25">
                  <c:v>0.51900000000000002</c:v>
                </c:pt>
                <c:pt idx="26">
                  <c:v>0.52</c:v>
                </c:pt>
                <c:pt idx="27">
                  <c:v>0.50800000000000001</c:v>
                </c:pt>
                <c:pt idx="28">
                  <c:v>0.5</c:v>
                </c:pt>
                <c:pt idx="29">
                  <c:v>0.502</c:v>
                </c:pt>
                <c:pt idx="30">
                  <c:v>0.501</c:v>
                </c:pt>
                <c:pt idx="31">
                  <c:v>0.503</c:v>
                </c:pt>
                <c:pt idx="32">
                  <c:v>0.5</c:v>
                </c:pt>
                <c:pt idx="33">
                  <c:v>0.504</c:v>
                </c:pt>
                <c:pt idx="34">
                  <c:v>0.505</c:v>
                </c:pt>
                <c:pt idx="35">
                  <c:v>0.50600000000000001</c:v>
                </c:pt>
                <c:pt idx="36">
                  <c:v>0.49399999999999999</c:v>
                </c:pt>
                <c:pt idx="37">
                  <c:v>0.49399999999999999</c:v>
                </c:pt>
                <c:pt idx="38">
                  <c:v>0.497</c:v>
                </c:pt>
                <c:pt idx="39">
                  <c:v>0.48799999999999999</c:v>
                </c:pt>
                <c:pt idx="40">
                  <c:v>0.48799999999999999</c:v>
                </c:pt>
                <c:pt idx="41">
                  <c:v>0.48599999999999999</c:v>
                </c:pt>
                <c:pt idx="42">
                  <c:v>0.48799999999999999</c:v>
                </c:pt>
                <c:pt idx="43">
                  <c:v>0.48599999999999999</c:v>
                </c:pt>
                <c:pt idx="44">
                  <c:v>0.497</c:v>
                </c:pt>
                <c:pt idx="45">
                  <c:v>0.505</c:v>
                </c:pt>
                <c:pt idx="46">
                  <c:v>0.51200000000000001</c:v>
                </c:pt>
                <c:pt idx="47">
                  <c:v>0.51700000000000002</c:v>
                </c:pt>
                <c:pt idx="48">
                  <c:v>0.52900000000000003</c:v>
                </c:pt>
                <c:pt idx="49">
                  <c:v>0.53600000000000003</c:v>
                </c:pt>
                <c:pt idx="50">
                  <c:v>0.54</c:v>
                </c:pt>
                <c:pt idx="51">
                  <c:v>0.54700000000000004</c:v>
                </c:pt>
                <c:pt idx="52">
                  <c:v>0.55299999999999994</c:v>
                </c:pt>
                <c:pt idx="53">
                  <c:v>0.56000000000000005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E3-4DA8-8D48-7D89DF70F52E}"/>
            </c:ext>
          </c:extLst>
        </c:ser>
        <c:ser>
          <c:idx val="1"/>
          <c:order val="1"/>
          <c:tx>
            <c:v>Salida</c:v>
          </c:tx>
          <c:spPr>
            <a:ln w="19050" cap="rnd">
              <a:solidFill>
                <a:srgbClr val="CC3C8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CC3C81"/>
              </a:solidFill>
              <a:ln w="9525">
                <a:noFill/>
              </a:ln>
              <a:effectLst/>
            </c:spPr>
          </c:marker>
          <c:xVal>
            <c:numRef>
              <c:f>Original!$A$8:$A$61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Original!$H$8:$H$61</c:f>
              <c:numCache>
                <c:formatCode>0.00%</c:formatCode>
                <c:ptCount val="54"/>
                <c:pt idx="0">
                  <c:v>0.60199999999999998</c:v>
                </c:pt>
                <c:pt idx="1">
                  <c:v>0.622</c:v>
                </c:pt>
                <c:pt idx="2">
                  <c:v>0.627</c:v>
                </c:pt>
                <c:pt idx="3">
                  <c:v>0.621</c:v>
                </c:pt>
                <c:pt idx="4">
                  <c:v>0.622</c:v>
                </c:pt>
                <c:pt idx="5">
                  <c:v>0.61199999999999999</c:v>
                </c:pt>
                <c:pt idx="6">
                  <c:v>0.60699999999999998</c:v>
                </c:pt>
                <c:pt idx="7">
                  <c:v>0.60299999999999998</c:v>
                </c:pt>
                <c:pt idx="8">
                  <c:v>0.59699999999999998</c:v>
                </c:pt>
                <c:pt idx="9">
                  <c:v>0.59499999999999997</c:v>
                </c:pt>
                <c:pt idx="10">
                  <c:v>0.59299999999999997</c:v>
                </c:pt>
                <c:pt idx="11">
                  <c:v>0.59099999999999997</c:v>
                </c:pt>
                <c:pt idx="12">
                  <c:v>0.57899999999999996</c:v>
                </c:pt>
                <c:pt idx="13">
                  <c:v>0.58199999999999996</c:v>
                </c:pt>
                <c:pt idx="14">
                  <c:v>0.57899999999999996</c:v>
                </c:pt>
                <c:pt idx="15">
                  <c:v>0.57899999999999996</c:v>
                </c:pt>
                <c:pt idx="16">
                  <c:v>0.57199999999999995</c:v>
                </c:pt>
                <c:pt idx="17">
                  <c:v>0.56999999999999995</c:v>
                </c:pt>
                <c:pt idx="18">
                  <c:v>0.56999999999999995</c:v>
                </c:pt>
                <c:pt idx="19">
                  <c:v>0.57199999999999995</c:v>
                </c:pt>
                <c:pt idx="20">
                  <c:v>0.56999999999999995</c:v>
                </c:pt>
                <c:pt idx="21">
                  <c:v>0.56899999999999995</c:v>
                </c:pt>
                <c:pt idx="22">
                  <c:v>0.55800000000000005</c:v>
                </c:pt>
                <c:pt idx="23">
                  <c:v>0.55700000000000005</c:v>
                </c:pt>
                <c:pt idx="24">
                  <c:v>0.55200000000000005</c:v>
                </c:pt>
                <c:pt idx="25">
                  <c:v>0.55400000000000005</c:v>
                </c:pt>
                <c:pt idx="26">
                  <c:v>0.55300000000000005</c:v>
                </c:pt>
                <c:pt idx="27">
                  <c:v>0.54100000000000004</c:v>
                </c:pt>
                <c:pt idx="28">
                  <c:v>0.53600000000000003</c:v>
                </c:pt>
                <c:pt idx="29">
                  <c:v>0.53200000000000003</c:v>
                </c:pt>
                <c:pt idx="30">
                  <c:v>0.53500000000000003</c:v>
                </c:pt>
                <c:pt idx="31">
                  <c:v>0.53300000000000003</c:v>
                </c:pt>
                <c:pt idx="32">
                  <c:v>0.53400000000000003</c:v>
                </c:pt>
                <c:pt idx="33">
                  <c:v>0.53600000000000003</c:v>
                </c:pt>
                <c:pt idx="34">
                  <c:v>0.53500000000000003</c:v>
                </c:pt>
                <c:pt idx="35">
                  <c:v>0.53500000000000003</c:v>
                </c:pt>
                <c:pt idx="36">
                  <c:v>0.52500000000000002</c:v>
                </c:pt>
                <c:pt idx="37">
                  <c:v>0.52400000000000002</c:v>
                </c:pt>
                <c:pt idx="38">
                  <c:v>0.52800000000000002</c:v>
                </c:pt>
                <c:pt idx="39">
                  <c:v>0.51700000000000002</c:v>
                </c:pt>
                <c:pt idx="40">
                  <c:v>0.52300000000000002</c:v>
                </c:pt>
                <c:pt idx="41">
                  <c:v>0.48399999999999999</c:v>
                </c:pt>
                <c:pt idx="42">
                  <c:v>0.49</c:v>
                </c:pt>
                <c:pt idx="43">
                  <c:v>0.48899999999999999</c:v>
                </c:pt>
                <c:pt idx="44">
                  <c:v>0.499</c:v>
                </c:pt>
                <c:pt idx="45">
                  <c:v>0.51100000000000001</c:v>
                </c:pt>
                <c:pt idx="46">
                  <c:v>0.51300000000000001</c:v>
                </c:pt>
                <c:pt idx="47">
                  <c:v>0.51900000000000002</c:v>
                </c:pt>
                <c:pt idx="48">
                  <c:v>0.53200000000000003</c:v>
                </c:pt>
                <c:pt idx="49">
                  <c:v>0.53700000000000003</c:v>
                </c:pt>
                <c:pt idx="50">
                  <c:v>0.54200000000000004</c:v>
                </c:pt>
                <c:pt idx="51">
                  <c:v>0.55100000000000005</c:v>
                </c:pt>
                <c:pt idx="52">
                  <c:v>0.55399999999999994</c:v>
                </c:pt>
                <c:pt idx="53">
                  <c:v>0.56200000000000006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E3-4DA8-8D48-7D89DF70F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  <a:r>
                  <a:rPr lang="es-MX" baseline="0"/>
                  <a:t> (min)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0.6500000000000001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Humedad relativa del</a:t>
                </a:r>
                <a:r>
                  <a:rPr lang="es-MX" baseline="0"/>
                  <a:t> túnel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24563978877891"/>
          <c:y val="0.62430665556619092"/>
          <c:w val="0.17201651742771756"/>
          <c:h val="0.1586549779466960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Peso del sólido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'Sin ruido en Tsal'!$A$8:$A$62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'Sin ruido en Tsal'!$C$8:$C$62</c:f>
              <c:numCache>
                <c:formatCode>General</c:formatCode>
                <c:ptCount val="55"/>
                <c:pt idx="0">
                  <c:v>1183</c:v>
                </c:pt>
                <c:pt idx="1">
                  <c:v>1164.2</c:v>
                </c:pt>
                <c:pt idx="2">
                  <c:v>1159.4000000000001</c:v>
                </c:pt>
                <c:pt idx="3">
                  <c:v>1154.8</c:v>
                </c:pt>
                <c:pt idx="4">
                  <c:v>1146.2</c:v>
                </c:pt>
                <c:pt idx="5">
                  <c:v>1139.3</c:v>
                </c:pt>
                <c:pt idx="6">
                  <c:v>1129.2</c:v>
                </c:pt>
                <c:pt idx="7">
                  <c:v>1122.4000000000001</c:v>
                </c:pt>
                <c:pt idx="8">
                  <c:v>1115</c:v>
                </c:pt>
                <c:pt idx="9">
                  <c:v>1106.3</c:v>
                </c:pt>
                <c:pt idx="10">
                  <c:v>1097.2</c:v>
                </c:pt>
                <c:pt idx="11">
                  <c:v>1090.5</c:v>
                </c:pt>
                <c:pt idx="12">
                  <c:v>1083.3</c:v>
                </c:pt>
                <c:pt idx="13">
                  <c:v>1075.7</c:v>
                </c:pt>
                <c:pt idx="14">
                  <c:v>1069</c:v>
                </c:pt>
                <c:pt idx="15">
                  <c:v>1062.3</c:v>
                </c:pt>
                <c:pt idx="16">
                  <c:v>1054.9000000000001</c:v>
                </c:pt>
                <c:pt idx="17">
                  <c:v>1050.0999999999999</c:v>
                </c:pt>
                <c:pt idx="18">
                  <c:v>1041</c:v>
                </c:pt>
                <c:pt idx="19">
                  <c:v>1035.5999999999999</c:v>
                </c:pt>
                <c:pt idx="20">
                  <c:v>1029.5</c:v>
                </c:pt>
                <c:pt idx="21">
                  <c:v>1023</c:v>
                </c:pt>
                <c:pt idx="22">
                  <c:v>1016.3</c:v>
                </c:pt>
                <c:pt idx="23">
                  <c:v>1011</c:v>
                </c:pt>
                <c:pt idx="24">
                  <c:v>1004</c:v>
                </c:pt>
                <c:pt idx="25">
                  <c:v>1000</c:v>
                </c:pt>
                <c:pt idx="26">
                  <c:v>995</c:v>
                </c:pt>
                <c:pt idx="27">
                  <c:v>990</c:v>
                </c:pt>
                <c:pt idx="28">
                  <c:v>984</c:v>
                </c:pt>
                <c:pt idx="29">
                  <c:v>980</c:v>
                </c:pt>
                <c:pt idx="30">
                  <c:v>973</c:v>
                </c:pt>
                <c:pt idx="31">
                  <c:v>970</c:v>
                </c:pt>
                <c:pt idx="32">
                  <c:v>964</c:v>
                </c:pt>
                <c:pt idx="33">
                  <c:v>960</c:v>
                </c:pt>
                <c:pt idx="34">
                  <c:v>955</c:v>
                </c:pt>
                <c:pt idx="35">
                  <c:v>950</c:v>
                </c:pt>
                <c:pt idx="36">
                  <c:v>946</c:v>
                </c:pt>
                <c:pt idx="37">
                  <c:v>943</c:v>
                </c:pt>
                <c:pt idx="38">
                  <c:v>937.9</c:v>
                </c:pt>
                <c:pt idx="39">
                  <c:v>933.4</c:v>
                </c:pt>
                <c:pt idx="40">
                  <c:v>933.4</c:v>
                </c:pt>
                <c:pt idx="41">
                  <c:v>924.6</c:v>
                </c:pt>
                <c:pt idx="42">
                  <c:v>923.5</c:v>
                </c:pt>
                <c:pt idx="43">
                  <c:v>919</c:v>
                </c:pt>
                <c:pt idx="44">
                  <c:v>915.1</c:v>
                </c:pt>
                <c:pt idx="45">
                  <c:v>911</c:v>
                </c:pt>
                <c:pt idx="46">
                  <c:v>909.3</c:v>
                </c:pt>
                <c:pt idx="47">
                  <c:v>906.5</c:v>
                </c:pt>
                <c:pt idx="48">
                  <c:v>904</c:v>
                </c:pt>
                <c:pt idx="49">
                  <c:v>901</c:v>
                </c:pt>
                <c:pt idx="50">
                  <c:v>898</c:v>
                </c:pt>
                <c:pt idx="51">
                  <c:v>894</c:v>
                </c:pt>
                <c:pt idx="52">
                  <c:v>892</c:v>
                </c:pt>
                <c:pt idx="53">
                  <c:v>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89-4133-BD96-DB3B565A3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Masa</a:t>
                </a:r>
                <a:r>
                  <a:rPr lang="es-MX" baseline="0"/>
                  <a:t> del sólido (g)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Flujo de 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47474"/>
              </a:solidFill>
              <a:ln w="9525">
                <a:noFill/>
              </a:ln>
              <a:effectLst/>
            </c:spPr>
          </c:marker>
          <c:xVal>
            <c:numRef>
              <c:f>'Sin ruido en Tsal'!$A$8:$A$62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'Sin ruido en Tsal'!$D$8:$D$62</c:f>
              <c:numCache>
                <c:formatCode>General</c:formatCode>
                <c:ptCount val="55"/>
                <c:pt idx="0">
                  <c:v>1.3</c:v>
                </c:pt>
                <c:pt idx="1">
                  <c:v>1.35</c:v>
                </c:pt>
                <c:pt idx="2">
                  <c:v>1.32</c:v>
                </c:pt>
                <c:pt idx="3">
                  <c:v>1.25</c:v>
                </c:pt>
                <c:pt idx="4">
                  <c:v>1.26</c:v>
                </c:pt>
                <c:pt idx="5">
                  <c:v>1.25</c:v>
                </c:pt>
                <c:pt idx="6">
                  <c:v>1.21</c:v>
                </c:pt>
                <c:pt idx="7">
                  <c:v>1.21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1.07</c:v>
                </c:pt>
                <c:pt idx="14">
                  <c:v>1.1000000000000001</c:v>
                </c:pt>
                <c:pt idx="15">
                  <c:v>1</c:v>
                </c:pt>
                <c:pt idx="16">
                  <c:v>1</c:v>
                </c:pt>
                <c:pt idx="17">
                  <c:v>0.9</c:v>
                </c:pt>
                <c:pt idx="18">
                  <c:v>1.1000000000000001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1.2</c:v>
                </c:pt>
                <c:pt idx="32">
                  <c:v>1.3</c:v>
                </c:pt>
                <c:pt idx="33">
                  <c:v>1.3</c:v>
                </c:pt>
                <c:pt idx="34">
                  <c:v>1.4</c:v>
                </c:pt>
                <c:pt idx="35">
                  <c:v>1.3</c:v>
                </c:pt>
                <c:pt idx="36">
                  <c:v>1.3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1.2</c:v>
                </c:pt>
                <c:pt idx="41">
                  <c:v>1.29</c:v>
                </c:pt>
                <c:pt idx="42">
                  <c:v>1.31</c:v>
                </c:pt>
                <c:pt idx="43">
                  <c:v>1.29</c:v>
                </c:pt>
                <c:pt idx="44">
                  <c:v>1.32</c:v>
                </c:pt>
                <c:pt idx="45">
                  <c:v>1.32</c:v>
                </c:pt>
                <c:pt idx="46">
                  <c:v>1.35</c:v>
                </c:pt>
                <c:pt idx="47">
                  <c:v>1.35</c:v>
                </c:pt>
                <c:pt idx="48">
                  <c:v>1.34</c:v>
                </c:pt>
                <c:pt idx="49">
                  <c:v>1.4</c:v>
                </c:pt>
                <c:pt idx="50">
                  <c:v>1.4</c:v>
                </c:pt>
                <c:pt idx="51">
                  <c:v>1.35</c:v>
                </c:pt>
                <c:pt idx="52">
                  <c:v>1.35</c:v>
                </c:pt>
                <c:pt idx="53">
                  <c:v>1.33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24-4AFE-BC34-043CD4762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Velocidad lineal</a:t>
                </a:r>
                <a:r>
                  <a:rPr lang="es-MX" baseline="0"/>
                  <a:t> (m/s)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47474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Temperatura de</a:t>
            </a:r>
            <a:r>
              <a:rPr lang="es-MX" baseline="0"/>
              <a:t> entrada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'Sin ruido en Tsal'!$A$8:$A$62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'Sin ruido en Tsal'!$E$8:$E$62</c:f>
              <c:numCache>
                <c:formatCode>General</c:formatCode>
                <c:ptCount val="55"/>
                <c:pt idx="0">
                  <c:v>25.9</c:v>
                </c:pt>
                <c:pt idx="1">
                  <c:v>21.22</c:v>
                </c:pt>
                <c:pt idx="2">
                  <c:v>20.8</c:v>
                </c:pt>
                <c:pt idx="3">
                  <c:v>20.8</c:v>
                </c:pt>
                <c:pt idx="4">
                  <c:v>21.1</c:v>
                </c:pt>
                <c:pt idx="5">
                  <c:v>21.4</c:v>
                </c:pt>
                <c:pt idx="6">
                  <c:v>21.8</c:v>
                </c:pt>
                <c:pt idx="7">
                  <c:v>22.1</c:v>
                </c:pt>
                <c:pt idx="8">
                  <c:v>22.3</c:v>
                </c:pt>
                <c:pt idx="9">
                  <c:v>22.6</c:v>
                </c:pt>
                <c:pt idx="10">
                  <c:v>22.7</c:v>
                </c:pt>
                <c:pt idx="11">
                  <c:v>22.7</c:v>
                </c:pt>
                <c:pt idx="12">
                  <c:v>23</c:v>
                </c:pt>
                <c:pt idx="13">
                  <c:v>23.1</c:v>
                </c:pt>
                <c:pt idx="14">
                  <c:v>23.2</c:v>
                </c:pt>
                <c:pt idx="15">
                  <c:v>23.3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>
                  <c:v>23.7</c:v>
                </c:pt>
                <c:pt idx="20">
                  <c:v>24</c:v>
                </c:pt>
                <c:pt idx="21">
                  <c:v>24</c:v>
                </c:pt>
                <c:pt idx="22">
                  <c:v>24.1</c:v>
                </c:pt>
                <c:pt idx="23">
                  <c:v>24.1</c:v>
                </c:pt>
                <c:pt idx="24">
                  <c:v>24.3</c:v>
                </c:pt>
                <c:pt idx="25">
                  <c:v>24.2</c:v>
                </c:pt>
                <c:pt idx="26">
                  <c:v>24.2</c:v>
                </c:pt>
                <c:pt idx="27">
                  <c:v>24.5</c:v>
                </c:pt>
                <c:pt idx="28">
                  <c:v>24.6</c:v>
                </c:pt>
                <c:pt idx="29">
                  <c:v>24.6</c:v>
                </c:pt>
                <c:pt idx="30">
                  <c:v>24.8</c:v>
                </c:pt>
                <c:pt idx="31">
                  <c:v>24.7</c:v>
                </c:pt>
                <c:pt idx="32">
                  <c:v>24.8</c:v>
                </c:pt>
                <c:pt idx="33">
                  <c:v>24.8</c:v>
                </c:pt>
                <c:pt idx="34">
                  <c:v>24.9</c:v>
                </c:pt>
                <c:pt idx="35">
                  <c:v>24.9</c:v>
                </c:pt>
                <c:pt idx="36">
                  <c:v>25</c:v>
                </c:pt>
                <c:pt idx="37">
                  <c:v>24.9</c:v>
                </c:pt>
                <c:pt idx="38">
                  <c:v>24.8</c:v>
                </c:pt>
                <c:pt idx="39">
                  <c:v>24.9</c:v>
                </c:pt>
                <c:pt idx="40">
                  <c:v>24.9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24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56-43BE-9D32-061D2EE84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28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Temperatura en</a:t>
                </a:r>
                <a:r>
                  <a:rPr lang="es-MX" baseline="0"/>
                  <a:t> el túnel (°C)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Temperatura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'Sin ruido en Tsal'!$A$8:$A$62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'Sin ruido en Tsal'!$G$8:$G$62</c:f>
              <c:numCache>
                <c:formatCode>General</c:formatCode>
                <c:ptCount val="55"/>
                <c:pt idx="0">
                  <c:v>20.3</c:v>
                </c:pt>
                <c:pt idx="1">
                  <c:v>19.8</c:v>
                </c:pt>
                <c:pt idx="2">
                  <c:v>19.399999999999999</c:v>
                </c:pt>
                <c:pt idx="3">
                  <c:v>19.2</c:v>
                </c:pt>
                <c:pt idx="4">
                  <c:v>20.100000000000001</c:v>
                </c:pt>
                <c:pt idx="5">
                  <c:v>20.399999999999999</c:v>
                </c:pt>
                <c:pt idx="6">
                  <c:v>20.7</c:v>
                </c:pt>
                <c:pt idx="7">
                  <c:v>20.9</c:v>
                </c:pt>
                <c:pt idx="8">
                  <c:v>21.2</c:v>
                </c:pt>
                <c:pt idx="9">
                  <c:v>21.3</c:v>
                </c:pt>
                <c:pt idx="10">
                  <c:v>21.5</c:v>
                </c:pt>
                <c:pt idx="11">
                  <c:v>21.6</c:v>
                </c:pt>
                <c:pt idx="12">
                  <c:v>21.7</c:v>
                </c:pt>
                <c:pt idx="13">
                  <c:v>21.9</c:v>
                </c:pt>
                <c:pt idx="14">
                  <c:v>22</c:v>
                </c:pt>
                <c:pt idx="15">
                  <c:v>22.1</c:v>
                </c:pt>
                <c:pt idx="16">
                  <c:v>22.2</c:v>
                </c:pt>
                <c:pt idx="17">
                  <c:v>22.2</c:v>
                </c:pt>
                <c:pt idx="18">
                  <c:v>22.5</c:v>
                </c:pt>
                <c:pt idx="19">
                  <c:v>22.5</c:v>
                </c:pt>
                <c:pt idx="20">
                  <c:v>22.6</c:v>
                </c:pt>
                <c:pt idx="21">
                  <c:v>22.6</c:v>
                </c:pt>
                <c:pt idx="22">
                  <c:v>22.7</c:v>
                </c:pt>
                <c:pt idx="23">
                  <c:v>22.8</c:v>
                </c:pt>
                <c:pt idx="24">
                  <c:v>22.9</c:v>
                </c:pt>
                <c:pt idx="25">
                  <c:v>22.8</c:v>
                </c:pt>
                <c:pt idx="26">
                  <c:v>22.9</c:v>
                </c:pt>
                <c:pt idx="27">
                  <c:v>23.1</c:v>
                </c:pt>
                <c:pt idx="28">
                  <c:v>23.1</c:v>
                </c:pt>
                <c:pt idx="29">
                  <c:v>23.3</c:v>
                </c:pt>
                <c:pt idx="30">
                  <c:v>23.3</c:v>
                </c:pt>
                <c:pt idx="31">
                  <c:v>23.3</c:v>
                </c:pt>
                <c:pt idx="32">
                  <c:v>23.4</c:v>
                </c:pt>
                <c:pt idx="33">
                  <c:v>23.3</c:v>
                </c:pt>
                <c:pt idx="34">
                  <c:v>23.5</c:v>
                </c:pt>
                <c:pt idx="35">
                  <c:v>23.5</c:v>
                </c:pt>
                <c:pt idx="36">
                  <c:v>23.6</c:v>
                </c:pt>
                <c:pt idx="37">
                  <c:v>23.5</c:v>
                </c:pt>
                <c:pt idx="38">
                  <c:v>23.5</c:v>
                </c:pt>
                <c:pt idx="39">
                  <c:v>23.8</c:v>
                </c:pt>
                <c:pt idx="40">
                  <c:v>23.4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23.9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C-4E5F-BE7B-27DE95968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Temperatura</a:t>
                </a:r>
                <a:r>
                  <a:rPr lang="es-MX" baseline="0"/>
                  <a:t> en el túnel (°C)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Humedad de entrada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'Sin ruido en Tsal'!$A$8:$A$62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'Sin ruido en Tsal'!$F$8:$F$62</c:f>
              <c:numCache>
                <c:formatCode>0.00%</c:formatCode>
                <c:ptCount val="55"/>
                <c:pt idx="0">
                  <c:v>0.45</c:v>
                </c:pt>
                <c:pt idx="1">
                  <c:v>0.56399999999999995</c:v>
                </c:pt>
                <c:pt idx="2">
                  <c:v>0.57899999999999996</c:v>
                </c:pt>
                <c:pt idx="3">
                  <c:v>0.58299999999999996</c:v>
                </c:pt>
                <c:pt idx="4">
                  <c:v>0.57999999999999996</c:v>
                </c:pt>
                <c:pt idx="5">
                  <c:v>0.57399999999999995</c:v>
                </c:pt>
                <c:pt idx="6">
                  <c:v>0.56699999999999995</c:v>
                </c:pt>
                <c:pt idx="7">
                  <c:v>0.56200000000000006</c:v>
                </c:pt>
                <c:pt idx="8">
                  <c:v>0.55900000000000005</c:v>
                </c:pt>
                <c:pt idx="9">
                  <c:v>0.55900000000000005</c:v>
                </c:pt>
                <c:pt idx="10">
                  <c:v>0.55400000000000005</c:v>
                </c:pt>
                <c:pt idx="11">
                  <c:v>0.55400000000000005</c:v>
                </c:pt>
                <c:pt idx="12">
                  <c:v>0.54300000000000004</c:v>
                </c:pt>
                <c:pt idx="13">
                  <c:v>0.54200000000000004</c:v>
                </c:pt>
                <c:pt idx="14">
                  <c:v>0.54100000000000004</c:v>
                </c:pt>
                <c:pt idx="15">
                  <c:v>0.54400000000000004</c:v>
                </c:pt>
                <c:pt idx="16">
                  <c:v>0.54</c:v>
                </c:pt>
                <c:pt idx="17">
                  <c:v>0.53200000000000003</c:v>
                </c:pt>
                <c:pt idx="18">
                  <c:v>0.53500000000000003</c:v>
                </c:pt>
                <c:pt idx="19">
                  <c:v>0.53800000000000003</c:v>
                </c:pt>
                <c:pt idx="20">
                  <c:v>0.53100000000000003</c:v>
                </c:pt>
                <c:pt idx="21">
                  <c:v>0.53400000000000003</c:v>
                </c:pt>
                <c:pt idx="22">
                  <c:v>0.52300000000000002</c:v>
                </c:pt>
                <c:pt idx="23">
                  <c:v>0.52300000000000002</c:v>
                </c:pt>
                <c:pt idx="24">
                  <c:v>0.51800000000000002</c:v>
                </c:pt>
                <c:pt idx="25">
                  <c:v>0.51900000000000002</c:v>
                </c:pt>
                <c:pt idx="26">
                  <c:v>0.52</c:v>
                </c:pt>
                <c:pt idx="27">
                  <c:v>0.50800000000000001</c:v>
                </c:pt>
                <c:pt idx="28">
                  <c:v>0.5</c:v>
                </c:pt>
                <c:pt idx="29">
                  <c:v>0.502</c:v>
                </c:pt>
                <c:pt idx="30">
                  <c:v>0.501</c:v>
                </c:pt>
                <c:pt idx="31">
                  <c:v>0.503</c:v>
                </c:pt>
                <c:pt idx="32">
                  <c:v>0.5</c:v>
                </c:pt>
                <c:pt idx="33">
                  <c:v>0.504</c:v>
                </c:pt>
                <c:pt idx="34">
                  <c:v>0.505</c:v>
                </c:pt>
                <c:pt idx="35">
                  <c:v>0.50600000000000001</c:v>
                </c:pt>
                <c:pt idx="36">
                  <c:v>0.49399999999999999</c:v>
                </c:pt>
                <c:pt idx="37">
                  <c:v>0.49399999999999999</c:v>
                </c:pt>
                <c:pt idx="38">
                  <c:v>0.497</c:v>
                </c:pt>
                <c:pt idx="39">
                  <c:v>0.48799999999999999</c:v>
                </c:pt>
                <c:pt idx="40">
                  <c:v>0.48799999999999999</c:v>
                </c:pt>
                <c:pt idx="41">
                  <c:v>0.48599999999999999</c:v>
                </c:pt>
                <c:pt idx="42">
                  <c:v>0.48799999999999999</c:v>
                </c:pt>
                <c:pt idx="43">
                  <c:v>0.48599999999999999</c:v>
                </c:pt>
                <c:pt idx="44">
                  <c:v>0.497</c:v>
                </c:pt>
                <c:pt idx="45">
                  <c:v>0.505</c:v>
                </c:pt>
                <c:pt idx="46">
                  <c:v>0.51200000000000001</c:v>
                </c:pt>
                <c:pt idx="47">
                  <c:v>0.51700000000000002</c:v>
                </c:pt>
                <c:pt idx="48">
                  <c:v>0.52900000000000003</c:v>
                </c:pt>
                <c:pt idx="49">
                  <c:v>0.53600000000000003</c:v>
                </c:pt>
                <c:pt idx="50">
                  <c:v>0.54</c:v>
                </c:pt>
                <c:pt idx="51">
                  <c:v>0.54700000000000004</c:v>
                </c:pt>
                <c:pt idx="52">
                  <c:v>0.55299999999999994</c:v>
                </c:pt>
                <c:pt idx="53">
                  <c:v>0.56000000000000005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62-499C-8A80-B99EF57FE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  <a:r>
                  <a:rPr lang="es-MX" baseline="0"/>
                  <a:t> (min)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0.6500000000000001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Humedad relativa del</a:t>
                </a:r>
                <a:r>
                  <a:rPr lang="es-MX" baseline="0"/>
                  <a:t> túnel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Humedad de salida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'Sin ruido en Tsal'!$A$9:$A$62</c:f>
              <c:numCache>
                <c:formatCode>General</c:formatCode>
                <c:ptCount val="5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</c:numCache>
            </c:numRef>
          </c:xVal>
          <c:yVal>
            <c:numRef>
              <c:f>'Sin ruido en Tsal'!$H$9:$H$62</c:f>
              <c:numCache>
                <c:formatCode>0.00%</c:formatCode>
                <c:ptCount val="54"/>
                <c:pt idx="0">
                  <c:v>0.622</c:v>
                </c:pt>
                <c:pt idx="1">
                  <c:v>0.627</c:v>
                </c:pt>
                <c:pt idx="2">
                  <c:v>0.621</c:v>
                </c:pt>
                <c:pt idx="3">
                  <c:v>0.622</c:v>
                </c:pt>
                <c:pt idx="4">
                  <c:v>0.61199999999999999</c:v>
                </c:pt>
                <c:pt idx="5">
                  <c:v>0.60699999999999998</c:v>
                </c:pt>
                <c:pt idx="6">
                  <c:v>0.60299999999999998</c:v>
                </c:pt>
                <c:pt idx="7">
                  <c:v>0.59699999999999998</c:v>
                </c:pt>
                <c:pt idx="8">
                  <c:v>0.59499999999999997</c:v>
                </c:pt>
                <c:pt idx="9">
                  <c:v>0.59299999999999997</c:v>
                </c:pt>
                <c:pt idx="10">
                  <c:v>0.59099999999999997</c:v>
                </c:pt>
                <c:pt idx="11">
                  <c:v>0.57899999999999996</c:v>
                </c:pt>
                <c:pt idx="12">
                  <c:v>0.58199999999999996</c:v>
                </c:pt>
                <c:pt idx="13">
                  <c:v>0.57899999999999996</c:v>
                </c:pt>
                <c:pt idx="14">
                  <c:v>0.57899999999999996</c:v>
                </c:pt>
                <c:pt idx="15">
                  <c:v>0.57199999999999995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0.57199999999999995</c:v>
                </c:pt>
                <c:pt idx="19">
                  <c:v>0.56999999999999995</c:v>
                </c:pt>
                <c:pt idx="20">
                  <c:v>0.56899999999999995</c:v>
                </c:pt>
                <c:pt idx="21">
                  <c:v>0.55800000000000005</c:v>
                </c:pt>
                <c:pt idx="22">
                  <c:v>0.55700000000000005</c:v>
                </c:pt>
                <c:pt idx="23">
                  <c:v>0.55200000000000005</c:v>
                </c:pt>
                <c:pt idx="24">
                  <c:v>0.55400000000000005</c:v>
                </c:pt>
                <c:pt idx="25">
                  <c:v>0.55300000000000005</c:v>
                </c:pt>
                <c:pt idx="26">
                  <c:v>0.54100000000000004</c:v>
                </c:pt>
                <c:pt idx="27">
                  <c:v>0.53600000000000003</c:v>
                </c:pt>
                <c:pt idx="28">
                  <c:v>0.53200000000000003</c:v>
                </c:pt>
                <c:pt idx="29">
                  <c:v>0.53500000000000003</c:v>
                </c:pt>
                <c:pt idx="30">
                  <c:v>0.53300000000000003</c:v>
                </c:pt>
                <c:pt idx="31">
                  <c:v>0.53400000000000003</c:v>
                </c:pt>
                <c:pt idx="32">
                  <c:v>0.53600000000000003</c:v>
                </c:pt>
                <c:pt idx="33">
                  <c:v>0.53500000000000003</c:v>
                </c:pt>
                <c:pt idx="34">
                  <c:v>0.53500000000000003</c:v>
                </c:pt>
                <c:pt idx="35">
                  <c:v>0.52500000000000002</c:v>
                </c:pt>
                <c:pt idx="36">
                  <c:v>0.52400000000000002</c:v>
                </c:pt>
                <c:pt idx="37">
                  <c:v>0.52800000000000002</c:v>
                </c:pt>
                <c:pt idx="38">
                  <c:v>0.51700000000000002</c:v>
                </c:pt>
                <c:pt idx="39">
                  <c:v>0.52300000000000002</c:v>
                </c:pt>
                <c:pt idx="40">
                  <c:v>0.48399999999999999</c:v>
                </c:pt>
                <c:pt idx="41">
                  <c:v>0.49</c:v>
                </c:pt>
                <c:pt idx="42">
                  <c:v>0.48899999999999999</c:v>
                </c:pt>
                <c:pt idx="43">
                  <c:v>0.499</c:v>
                </c:pt>
                <c:pt idx="44">
                  <c:v>0.51100000000000001</c:v>
                </c:pt>
                <c:pt idx="45">
                  <c:v>0.51300000000000001</c:v>
                </c:pt>
                <c:pt idx="46">
                  <c:v>0.51900000000000002</c:v>
                </c:pt>
                <c:pt idx="47">
                  <c:v>0.53200000000000003</c:v>
                </c:pt>
                <c:pt idx="48">
                  <c:v>0.53700000000000003</c:v>
                </c:pt>
                <c:pt idx="49">
                  <c:v>0.54200000000000004</c:v>
                </c:pt>
                <c:pt idx="50">
                  <c:v>0.55100000000000005</c:v>
                </c:pt>
                <c:pt idx="51">
                  <c:v>0.55399999999999994</c:v>
                </c:pt>
                <c:pt idx="52">
                  <c:v>0.56200000000000006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E0-4C9C-9273-4E0CEB191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Humedad relativa del túnel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Temperatura en el túnel</a:t>
            </a:r>
          </a:p>
        </c:rich>
      </c:tx>
      <c:layout>
        <c:manualLayout>
          <c:xMode val="edge"/>
          <c:yMode val="edge"/>
          <c:x val="0.30026741685514063"/>
          <c:y val="2.7380947675440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Entrada</c:v>
          </c:tx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'Sin ruido en Tsal'!$A$8:$A$61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'Sin ruido en Tsal'!$E$8:$E$61</c:f>
              <c:numCache>
                <c:formatCode>General</c:formatCode>
                <c:ptCount val="54"/>
                <c:pt idx="0">
                  <c:v>25.9</c:v>
                </c:pt>
                <c:pt idx="1">
                  <c:v>21.22</c:v>
                </c:pt>
                <c:pt idx="2">
                  <c:v>20.8</c:v>
                </c:pt>
                <c:pt idx="3">
                  <c:v>20.8</c:v>
                </c:pt>
                <c:pt idx="4">
                  <c:v>21.1</c:v>
                </c:pt>
                <c:pt idx="5">
                  <c:v>21.4</c:v>
                </c:pt>
                <c:pt idx="6">
                  <c:v>21.8</c:v>
                </c:pt>
                <c:pt idx="7">
                  <c:v>22.1</c:v>
                </c:pt>
                <c:pt idx="8">
                  <c:v>22.3</c:v>
                </c:pt>
                <c:pt idx="9">
                  <c:v>22.6</c:v>
                </c:pt>
                <c:pt idx="10">
                  <c:v>22.7</c:v>
                </c:pt>
                <c:pt idx="11">
                  <c:v>22.7</c:v>
                </c:pt>
                <c:pt idx="12">
                  <c:v>23</c:v>
                </c:pt>
                <c:pt idx="13">
                  <c:v>23.1</c:v>
                </c:pt>
                <c:pt idx="14">
                  <c:v>23.2</c:v>
                </c:pt>
                <c:pt idx="15">
                  <c:v>23.3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>
                  <c:v>23.7</c:v>
                </c:pt>
                <c:pt idx="20">
                  <c:v>24</c:v>
                </c:pt>
                <c:pt idx="21">
                  <c:v>24</c:v>
                </c:pt>
                <c:pt idx="22">
                  <c:v>24.1</c:v>
                </c:pt>
                <c:pt idx="23">
                  <c:v>24.1</c:v>
                </c:pt>
                <c:pt idx="24">
                  <c:v>24.3</c:v>
                </c:pt>
                <c:pt idx="25">
                  <c:v>24.2</c:v>
                </c:pt>
                <c:pt idx="26">
                  <c:v>24.2</c:v>
                </c:pt>
                <c:pt idx="27">
                  <c:v>24.5</c:v>
                </c:pt>
                <c:pt idx="28">
                  <c:v>24.6</c:v>
                </c:pt>
                <c:pt idx="29">
                  <c:v>24.6</c:v>
                </c:pt>
                <c:pt idx="30">
                  <c:v>24.8</c:v>
                </c:pt>
                <c:pt idx="31">
                  <c:v>24.7</c:v>
                </c:pt>
                <c:pt idx="32">
                  <c:v>24.8</c:v>
                </c:pt>
                <c:pt idx="33">
                  <c:v>24.8</c:v>
                </c:pt>
                <c:pt idx="34">
                  <c:v>24.9</c:v>
                </c:pt>
                <c:pt idx="35">
                  <c:v>24.9</c:v>
                </c:pt>
                <c:pt idx="36">
                  <c:v>25</c:v>
                </c:pt>
                <c:pt idx="37">
                  <c:v>24.9</c:v>
                </c:pt>
                <c:pt idx="38">
                  <c:v>24.8</c:v>
                </c:pt>
                <c:pt idx="39">
                  <c:v>24.9</c:v>
                </c:pt>
                <c:pt idx="40">
                  <c:v>24.9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24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AA-489B-B418-44D8F96B103B}"/>
            </c:ext>
          </c:extLst>
        </c:ser>
        <c:ser>
          <c:idx val="1"/>
          <c:order val="1"/>
          <c:tx>
            <c:v>Salida</c:v>
          </c:tx>
          <c:spPr>
            <a:ln w="19050" cap="rnd">
              <a:solidFill>
                <a:srgbClr val="CC3C8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CC3C81"/>
              </a:solidFill>
              <a:ln w="9525">
                <a:noFill/>
              </a:ln>
              <a:effectLst/>
            </c:spPr>
          </c:marker>
          <c:xVal>
            <c:numRef>
              <c:f>'Sin ruido en Tsal'!$A$8:$A$61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'Sin ruido en Tsal'!$G$8:$G$61</c:f>
              <c:numCache>
                <c:formatCode>General</c:formatCode>
                <c:ptCount val="54"/>
                <c:pt idx="0">
                  <c:v>20.3</c:v>
                </c:pt>
                <c:pt idx="1">
                  <c:v>19.8</c:v>
                </c:pt>
                <c:pt idx="2">
                  <c:v>19.399999999999999</c:v>
                </c:pt>
                <c:pt idx="3">
                  <c:v>19.2</c:v>
                </c:pt>
                <c:pt idx="4">
                  <c:v>20.100000000000001</c:v>
                </c:pt>
                <c:pt idx="5">
                  <c:v>20.399999999999999</c:v>
                </c:pt>
                <c:pt idx="6">
                  <c:v>20.7</c:v>
                </c:pt>
                <c:pt idx="7">
                  <c:v>20.9</c:v>
                </c:pt>
                <c:pt idx="8">
                  <c:v>21.2</c:v>
                </c:pt>
                <c:pt idx="9">
                  <c:v>21.3</c:v>
                </c:pt>
                <c:pt idx="10">
                  <c:v>21.5</c:v>
                </c:pt>
                <c:pt idx="11">
                  <c:v>21.6</c:v>
                </c:pt>
                <c:pt idx="12">
                  <c:v>21.7</c:v>
                </c:pt>
                <c:pt idx="13">
                  <c:v>21.9</c:v>
                </c:pt>
                <c:pt idx="14">
                  <c:v>22</c:v>
                </c:pt>
                <c:pt idx="15">
                  <c:v>22.1</c:v>
                </c:pt>
                <c:pt idx="16">
                  <c:v>22.2</c:v>
                </c:pt>
                <c:pt idx="17">
                  <c:v>22.2</c:v>
                </c:pt>
                <c:pt idx="18">
                  <c:v>22.5</c:v>
                </c:pt>
                <c:pt idx="19">
                  <c:v>22.5</c:v>
                </c:pt>
                <c:pt idx="20">
                  <c:v>22.6</c:v>
                </c:pt>
                <c:pt idx="21">
                  <c:v>22.6</c:v>
                </c:pt>
                <c:pt idx="22">
                  <c:v>22.7</c:v>
                </c:pt>
                <c:pt idx="23">
                  <c:v>22.8</c:v>
                </c:pt>
                <c:pt idx="24">
                  <c:v>22.9</c:v>
                </c:pt>
                <c:pt idx="25">
                  <c:v>22.8</c:v>
                </c:pt>
                <c:pt idx="26">
                  <c:v>22.9</c:v>
                </c:pt>
                <c:pt idx="27">
                  <c:v>23.1</c:v>
                </c:pt>
                <c:pt idx="28">
                  <c:v>23.1</c:v>
                </c:pt>
                <c:pt idx="29">
                  <c:v>23.3</c:v>
                </c:pt>
                <c:pt idx="30">
                  <c:v>23.3</c:v>
                </c:pt>
                <c:pt idx="31">
                  <c:v>23.3</c:v>
                </c:pt>
                <c:pt idx="32">
                  <c:v>23.4</c:v>
                </c:pt>
                <c:pt idx="33">
                  <c:v>23.3</c:v>
                </c:pt>
                <c:pt idx="34">
                  <c:v>23.5</c:v>
                </c:pt>
                <c:pt idx="35">
                  <c:v>23.5</c:v>
                </c:pt>
                <c:pt idx="36">
                  <c:v>23.6</c:v>
                </c:pt>
                <c:pt idx="37">
                  <c:v>23.5</c:v>
                </c:pt>
                <c:pt idx="38">
                  <c:v>23.5</c:v>
                </c:pt>
                <c:pt idx="39">
                  <c:v>23.8</c:v>
                </c:pt>
                <c:pt idx="40">
                  <c:v>23.4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23.9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A-489B-B418-44D8F96B1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2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Temperatura en</a:t>
                </a:r>
                <a:r>
                  <a:rPr lang="es-MX" baseline="0"/>
                  <a:t> el túnel (°C)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23967845005013"/>
          <c:y val="0.61515632829789146"/>
          <c:w val="0.17221153517861393"/>
          <c:h val="0.1586549779466960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Humedad en el túnel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Entrada</c:v>
          </c:tx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'Sin ruido en Tsal'!$A$8:$A$61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'Sin ruido en Tsal'!$F$8:$F$61</c:f>
              <c:numCache>
                <c:formatCode>0.00%</c:formatCode>
                <c:ptCount val="54"/>
                <c:pt idx="0">
                  <c:v>0.45</c:v>
                </c:pt>
                <c:pt idx="1">
                  <c:v>0.56399999999999995</c:v>
                </c:pt>
                <c:pt idx="2">
                  <c:v>0.57899999999999996</c:v>
                </c:pt>
                <c:pt idx="3">
                  <c:v>0.58299999999999996</c:v>
                </c:pt>
                <c:pt idx="4">
                  <c:v>0.57999999999999996</c:v>
                </c:pt>
                <c:pt idx="5">
                  <c:v>0.57399999999999995</c:v>
                </c:pt>
                <c:pt idx="6">
                  <c:v>0.56699999999999995</c:v>
                </c:pt>
                <c:pt idx="7">
                  <c:v>0.56200000000000006</c:v>
                </c:pt>
                <c:pt idx="8">
                  <c:v>0.55900000000000005</c:v>
                </c:pt>
                <c:pt idx="9">
                  <c:v>0.55900000000000005</c:v>
                </c:pt>
                <c:pt idx="10">
                  <c:v>0.55400000000000005</c:v>
                </c:pt>
                <c:pt idx="11">
                  <c:v>0.55400000000000005</c:v>
                </c:pt>
                <c:pt idx="12">
                  <c:v>0.54300000000000004</c:v>
                </c:pt>
                <c:pt idx="13">
                  <c:v>0.54200000000000004</c:v>
                </c:pt>
                <c:pt idx="14">
                  <c:v>0.54100000000000004</c:v>
                </c:pt>
                <c:pt idx="15">
                  <c:v>0.54400000000000004</c:v>
                </c:pt>
                <c:pt idx="16">
                  <c:v>0.54</c:v>
                </c:pt>
                <c:pt idx="17">
                  <c:v>0.53200000000000003</c:v>
                </c:pt>
                <c:pt idx="18">
                  <c:v>0.53500000000000003</c:v>
                </c:pt>
                <c:pt idx="19">
                  <c:v>0.53800000000000003</c:v>
                </c:pt>
                <c:pt idx="20">
                  <c:v>0.53100000000000003</c:v>
                </c:pt>
                <c:pt idx="21">
                  <c:v>0.53400000000000003</c:v>
                </c:pt>
                <c:pt idx="22">
                  <c:v>0.52300000000000002</c:v>
                </c:pt>
                <c:pt idx="23">
                  <c:v>0.52300000000000002</c:v>
                </c:pt>
                <c:pt idx="24">
                  <c:v>0.51800000000000002</c:v>
                </c:pt>
                <c:pt idx="25">
                  <c:v>0.51900000000000002</c:v>
                </c:pt>
                <c:pt idx="26">
                  <c:v>0.52</c:v>
                </c:pt>
                <c:pt idx="27">
                  <c:v>0.50800000000000001</c:v>
                </c:pt>
                <c:pt idx="28">
                  <c:v>0.5</c:v>
                </c:pt>
                <c:pt idx="29">
                  <c:v>0.502</c:v>
                </c:pt>
                <c:pt idx="30">
                  <c:v>0.501</c:v>
                </c:pt>
                <c:pt idx="31">
                  <c:v>0.503</c:v>
                </c:pt>
                <c:pt idx="32">
                  <c:v>0.5</c:v>
                </c:pt>
                <c:pt idx="33">
                  <c:v>0.504</c:v>
                </c:pt>
                <c:pt idx="34">
                  <c:v>0.505</c:v>
                </c:pt>
                <c:pt idx="35">
                  <c:v>0.50600000000000001</c:v>
                </c:pt>
                <c:pt idx="36">
                  <c:v>0.49399999999999999</c:v>
                </c:pt>
                <c:pt idx="37">
                  <c:v>0.49399999999999999</c:v>
                </c:pt>
                <c:pt idx="38">
                  <c:v>0.497</c:v>
                </c:pt>
                <c:pt idx="39">
                  <c:v>0.48799999999999999</c:v>
                </c:pt>
                <c:pt idx="40">
                  <c:v>0.48799999999999999</c:v>
                </c:pt>
                <c:pt idx="41">
                  <c:v>0.48599999999999999</c:v>
                </c:pt>
                <c:pt idx="42">
                  <c:v>0.48799999999999999</c:v>
                </c:pt>
                <c:pt idx="43">
                  <c:v>0.48599999999999999</c:v>
                </c:pt>
                <c:pt idx="44">
                  <c:v>0.497</c:v>
                </c:pt>
                <c:pt idx="45">
                  <c:v>0.505</c:v>
                </c:pt>
                <c:pt idx="46">
                  <c:v>0.51200000000000001</c:v>
                </c:pt>
                <c:pt idx="47">
                  <c:v>0.51700000000000002</c:v>
                </c:pt>
                <c:pt idx="48">
                  <c:v>0.52900000000000003</c:v>
                </c:pt>
                <c:pt idx="49">
                  <c:v>0.53600000000000003</c:v>
                </c:pt>
                <c:pt idx="50">
                  <c:v>0.54</c:v>
                </c:pt>
                <c:pt idx="51">
                  <c:v>0.54700000000000004</c:v>
                </c:pt>
                <c:pt idx="52">
                  <c:v>0.55299999999999994</c:v>
                </c:pt>
                <c:pt idx="53">
                  <c:v>0.56000000000000005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4A-46E8-BA41-C013659D6E88}"/>
            </c:ext>
          </c:extLst>
        </c:ser>
        <c:ser>
          <c:idx val="1"/>
          <c:order val="1"/>
          <c:tx>
            <c:v>Salida</c:v>
          </c:tx>
          <c:spPr>
            <a:ln w="19050" cap="rnd">
              <a:solidFill>
                <a:srgbClr val="CC3C8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CC3C81"/>
              </a:solidFill>
              <a:ln w="9525">
                <a:noFill/>
              </a:ln>
              <a:effectLst/>
            </c:spPr>
          </c:marker>
          <c:xVal>
            <c:numRef>
              <c:f>Original!$A$8:$A$61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Original!$H$8:$H$61</c:f>
              <c:numCache>
                <c:formatCode>0.00%</c:formatCode>
                <c:ptCount val="54"/>
                <c:pt idx="0">
                  <c:v>0.60199999999999998</c:v>
                </c:pt>
                <c:pt idx="1">
                  <c:v>0.622</c:v>
                </c:pt>
                <c:pt idx="2">
                  <c:v>0.627</c:v>
                </c:pt>
                <c:pt idx="3">
                  <c:v>0.621</c:v>
                </c:pt>
                <c:pt idx="4">
                  <c:v>0.622</c:v>
                </c:pt>
                <c:pt idx="5">
                  <c:v>0.61199999999999999</c:v>
                </c:pt>
                <c:pt idx="6">
                  <c:v>0.60699999999999998</c:v>
                </c:pt>
                <c:pt idx="7">
                  <c:v>0.60299999999999998</c:v>
                </c:pt>
                <c:pt idx="8">
                  <c:v>0.59699999999999998</c:v>
                </c:pt>
                <c:pt idx="9">
                  <c:v>0.59499999999999997</c:v>
                </c:pt>
                <c:pt idx="10">
                  <c:v>0.59299999999999997</c:v>
                </c:pt>
                <c:pt idx="11">
                  <c:v>0.59099999999999997</c:v>
                </c:pt>
                <c:pt idx="12">
                  <c:v>0.57899999999999996</c:v>
                </c:pt>
                <c:pt idx="13">
                  <c:v>0.58199999999999996</c:v>
                </c:pt>
                <c:pt idx="14">
                  <c:v>0.57899999999999996</c:v>
                </c:pt>
                <c:pt idx="15">
                  <c:v>0.57899999999999996</c:v>
                </c:pt>
                <c:pt idx="16">
                  <c:v>0.57199999999999995</c:v>
                </c:pt>
                <c:pt idx="17">
                  <c:v>0.56999999999999995</c:v>
                </c:pt>
                <c:pt idx="18">
                  <c:v>0.56999999999999995</c:v>
                </c:pt>
                <c:pt idx="19">
                  <c:v>0.57199999999999995</c:v>
                </c:pt>
                <c:pt idx="20">
                  <c:v>0.56999999999999995</c:v>
                </c:pt>
                <c:pt idx="21">
                  <c:v>0.56899999999999995</c:v>
                </c:pt>
                <c:pt idx="22">
                  <c:v>0.55800000000000005</c:v>
                </c:pt>
                <c:pt idx="23">
                  <c:v>0.55700000000000005</c:v>
                </c:pt>
                <c:pt idx="24">
                  <c:v>0.55200000000000005</c:v>
                </c:pt>
                <c:pt idx="25">
                  <c:v>0.55400000000000005</c:v>
                </c:pt>
                <c:pt idx="26">
                  <c:v>0.55300000000000005</c:v>
                </c:pt>
                <c:pt idx="27">
                  <c:v>0.54100000000000004</c:v>
                </c:pt>
                <c:pt idx="28">
                  <c:v>0.53600000000000003</c:v>
                </c:pt>
                <c:pt idx="29">
                  <c:v>0.53200000000000003</c:v>
                </c:pt>
                <c:pt idx="30">
                  <c:v>0.53500000000000003</c:v>
                </c:pt>
                <c:pt idx="31">
                  <c:v>0.53300000000000003</c:v>
                </c:pt>
                <c:pt idx="32">
                  <c:v>0.53400000000000003</c:v>
                </c:pt>
                <c:pt idx="33">
                  <c:v>0.53600000000000003</c:v>
                </c:pt>
                <c:pt idx="34">
                  <c:v>0.53500000000000003</c:v>
                </c:pt>
                <c:pt idx="35">
                  <c:v>0.53500000000000003</c:v>
                </c:pt>
                <c:pt idx="36">
                  <c:v>0.52500000000000002</c:v>
                </c:pt>
                <c:pt idx="37">
                  <c:v>0.52400000000000002</c:v>
                </c:pt>
                <c:pt idx="38">
                  <c:v>0.52800000000000002</c:v>
                </c:pt>
                <c:pt idx="39">
                  <c:v>0.51700000000000002</c:v>
                </c:pt>
                <c:pt idx="40">
                  <c:v>0.52300000000000002</c:v>
                </c:pt>
                <c:pt idx="41">
                  <c:v>0.48399999999999999</c:v>
                </c:pt>
                <c:pt idx="42">
                  <c:v>0.49</c:v>
                </c:pt>
                <c:pt idx="43">
                  <c:v>0.48899999999999999</c:v>
                </c:pt>
                <c:pt idx="44">
                  <c:v>0.499</c:v>
                </c:pt>
                <c:pt idx="45">
                  <c:v>0.51100000000000001</c:v>
                </c:pt>
                <c:pt idx="46">
                  <c:v>0.51300000000000001</c:v>
                </c:pt>
                <c:pt idx="47">
                  <c:v>0.51900000000000002</c:v>
                </c:pt>
                <c:pt idx="48">
                  <c:v>0.53200000000000003</c:v>
                </c:pt>
                <c:pt idx="49">
                  <c:v>0.53700000000000003</c:v>
                </c:pt>
                <c:pt idx="50">
                  <c:v>0.54200000000000004</c:v>
                </c:pt>
                <c:pt idx="51">
                  <c:v>0.55100000000000005</c:v>
                </c:pt>
                <c:pt idx="52">
                  <c:v>0.55399999999999994</c:v>
                </c:pt>
                <c:pt idx="53">
                  <c:v>0.56200000000000006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A-46E8-BA41-C013659D6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  <a:r>
                  <a:rPr lang="es-MX" baseline="0"/>
                  <a:t> (min)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0.6500000000000001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Humedad relativa del</a:t>
                </a:r>
                <a:r>
                  <a:rPr lang="es-MX" baseline="0"/>
                  <a:t> túnel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24563978877891"/>
          <c:y val="0.62430665556619092"/>
          <c:w val="0.17201651742771756"/>
          <c:h val="0.1586549779466960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/>
              <a:t>Comportamiento</a:t>
            </a:r>
            <a:r>
              <a:rPr lang="es-MX" sz="1100" b="1" baseline="0"/>
              <a:t> de la humedad libre en el sistema respecto al tiempo de operación.</a:t>
            </a:r>
            <a:endParaRPr lang="es-MX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'Velocidad de secado'!$B$25:$B$78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'Velocidad de secado'!$K$25:$K$78</c:f>
              <c:numCache>
                <c:formatCode>0.0000</c:formatCode>
                <c:ptCount val="54"/>
                <c:pt idx="0">
                  <c:v>0.37791817411293316</c:v>
                </c:pt>
                <c:pt idx="1">
                  <c:v>0.35377506196304043</c:v>
                </c:pt>
                <c:pt idx="2">
                  <c:v>0.34761086311625933</c:v>
                </c:pt>
                <c:pt idx="3">
                  <c:v>0.34170350588809395</c:v>
                </c:pt>
                <c:pt idx="4">
                  <c:v>0.33065931628761114</c:v>
                </c:pt>
                <c:pt idx="5">
                  <c:v>0.32179828044536318</c:v>
                </c:pt>
                <c:pt idx="6">
                  <c:v>0.30882777870526135</c:v>
                </c:pt>
                <c:pt idx="7">
                  <c:v>0.30009516367232147</c:v>
                </c:pt>
                <c:pt idx="8">
                  <c:v>0.29059202378353377</c:v>
                </c:pt>
                <c:pt idx="9">
                  <c:v>0.27941941337374288</c:v>
                </c:pt>
                <c:pt idx="10">
                  <c:v>0.26773311972672043</c:v>
                </c:pt>
                <c:pt idx="11">
                  <c:v>0.25912892550308841</c:v>
                </c:pt>
                <c:pt idx="12">
                  <c:v>0.24988262723291668</c:v>
                </c:pt>
                <c:pt idx="13">
                  <c:v>0.24012264572551331</c:v>
                </c:pt>
                <c:pt idx="14">
                  <c:v>0.23151845150188125</c:v>
                </c:pt>
                <c:pt idx="15">
                  <c:v>0.22291425727824918</c:v>
                </c:pt>
                <c:pt idx="16">
                  <c:v>0.21341111738946181</c:v>
                </c:pt>
                <c:pt idx="17">
                  <c:v>0.20724691854268043</c:v>
                </c:pt>
                <c:pt idx="18">
                  <c:v>0.19556062489565798</c:v>
                </c:pt>
                <c:pt idx="19">
                  <c:v>0.18862590119302911</c:v>
                </c:pt>
                <c:pt idx="20">
                  <c:v>0.18079223182524487</c:v>
                </c:pt>
                <c:pt idx="21">
                  <c:v>0.17244487922022875</c:v>
                </c:pt>
                <c:pt idx="22">
                  <c:v>0.16384068499659668</c:v>
                </c:pt>
                <c:pt idx="23">
                  <c:v>0.15703438210327589</c:v>
                </c:pt>
                <c:pt idx="24">
                  <c:v>0.14804492545172007</c:v>
                </c:pt>
                <c:pt idx="25">
                  <c:v>0.14290809307940247</c:v>
                </c:pt>
                <c:pt idx="26">
                  <c:v>0.13648705261400548</c:v>
                </c:pt>
                <c:pt idx="27">
                  <c:v>0.13006601214860844</c:v>
                </c:pt>
                <c:pt idx="28">
                  <c:v>0.12236076359013207</c:v>
                </c:pt>
                <c:pt idx="29">
                  <c:v>0.11722393121781446</c:v>
                </c:pt>
                <c:pt idx="30">
                  <c:v>0.10823447456625862</c:v>
                </c:pt>
                <c:pt idx="31">
                  <c:v>0.10438185028702041</c:v>
                </c:pt>
                <c:pt idx="32">
                  <c:v>9.6676601728544004E-2</c:v>
                </c:pt>
                <c:pt idx="33">
                  <c:v>9.1539769356226375E-2</c:v>
                </c:pt>
                <c:pt idx="34">
                  <c:v>8.5118728890829387E-2</c:v>
                </c:pt>
                <c:pt idx="35">
                  <c:v>7.8697688425432372E-2</c:v>
                </c:pt>
                <c:pt idx="36">
                  <c:v>7.3560856053114743E-2</c:v>
                </c:pt>
                <c:pt idx="37">
                  <c:v>6.9708231773876556E-2</c:v>
                </c:pt>
                <c:pt idx="38">
                  <c:v>6.3158770499171568E-2</c:v>
                </c:pt>
                <c:pt idx="39">
                  <c:v>5.7379834080314246E-2</c:v>
                </c:pt>
                <c:pt idx="40">
                  <c:v>5.7379834080314246E-2</c:v>
                </c:pt>
                <c:pt idx="41">
                  <c:v>4.6078802861215573E-2</c:v>
                </c:pt>
                <c:pt idx="42">
                  <c:v>4.4666173958828187E-2</c:v>
                </c:pt>
                <c:pt idx="43">
                  <c:v>3.8887237539970892E-2</c:v>
                </c:pt>
                <c:pt idx="44">
                  <c:v>3.3878825976961235E-2</c:v>
                </c:pt>
                <c:pt idx="45">
                  <c:v>2.8613572795335662E-2</c:v>
                </c:pt>
                <c:pt idx="46">
                  <c:v>2.6430419037100611E-2</c:v>
                </c:pt>
                <c:pt idx="47">
                  <c:v>2.2834636376478368E-2</c:v>
                </c:pt>
                <c:pt idx="48">
                  <c:v>1.9624116143779846E-2</c:v>
                </c:pt>
                <c:pt idx="49">
                  <c:v>1.5771491864541631E-2</c:v>
                </c:pt>
                <c:pt idx="50">
                  <c:v>1.1918867585303444E-2</c:v>
                </c:pt>
                <c:pt idx="51">
                  <c:v>6.7820352129858152E-3</c:v>
                </c:pt>
                <c:pt idx="52">
                  <c:v>4.2136190268270146E-3</c:v>
                </c:pt>
                <c:pt idx="53">
                  <c:v>2.9294109337476282E-3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30-4246-B4AD-45E0D5B54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aseline="0"/>
                  <a:t>Humedad libre (x) (kg H</a:t>
                </a:r>
                <a:r>
                  <a:rPr lang="es-MX" baseline="-25000"/>
                  <a:t>2</a:t>
                </a:r>
                <a:r>
                  <a:rPr lang="es-MX" baseline="0"/>
                  <a:t>O/kg Pan)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Velocidad de secado </c:v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'Velocidad de secado'!$K$25:$K$78</c:f>
              <c:numCache>
                <c:formatCode>0.0000</c:formatCode>
                <c:ptCount val="54"/>
                <c:pt idx="0">
                  <c:v>0.37791817411293316</c:v>
                </c:pt>
                <c:pt idx="1">
                  <c:v>0.35377506196304043</c:v>
                </c:pt>
                <c:pt idx="2">
                  <c:v>0.34761086311625933</c:v>
                </c:pt>
                <c:pt idx="3">
                  <c:v>0.34170350588809395</c:v>
                </c:pt>
                <c:pt idx="4">
                  <c:v>0.33065931628761114</c:v>
                </c:pt>
                <c:pt idx="5">
                  <c:v>0.32179828044536318</c:v>
                </c:pt>
                <c:pt idx="6">
                  <c:v>0.30882777870526135</c:v>
                </c:pt>
                <c:pt idx="7">
                  <c:v>0.30009516367232147</c:v>
                </c:pt>
                <c:pt idx="8">
                  <c:v>0.29059202378353377</c:v>
                </c:pt>
                <c:pt idx="9">
                  <c:v>0.27941941337374288</c:v>
                </c:pt>
                <c:pt idx="10">
                  <c:v>0.26773311972672043</c:v>
                </c:pt>
                <c:pt idx="11">
                  <c:v>0.25912892550308841</c:v>
                </c:pt>
                <c:pt idx="12">
                  <c:v>0.24988262723291668</c:v>
                </c:pt>
                <c:pt idx="13">
                  <c:v>0.24012264572551331</c:v>
                </c:pt>
                <c:pt idx="14">
                  <c:v>0.23151845150188125</c:v>
                </c:pt>
                <c:pt idx="15">
                  <c:v>0.22291425727824918</c:v>
                </c:pt>
                <c:pt idx="16">
                  <c:v>0.21341111738946181</c:v>
                </c:pt>
                <c:pt idx="17">
                  <c:v>0.20724691854268043</c:v>
                </c:pt>
                <c:pt idx="18">
                  <c:v>0.19556062489565798</c:v>
                </c:pt>
                <c:pt idx="19">
                  <c:v>0.18862590119302911</c:v>
                </c:pt>
                <c:pt idx="20">
                  <c:v>0.18079223182524487</c:v>
                </c:pt>
                <c:pt idx="21">
                  <c:v>0.17244487922022875</c:v>
                </c:pt>
                <c:pt idx="22">
                  <c:v>0.16384068499659668</c:v>
                </c:pt>
                <c:pt idx="23">
                  <c:v>0.15703438210327589</c:v>
                </c:pt>
                <c:pt idx="24">
                  <c:v>0.14804492545172007</c:v>
                </c:pt>
                <c:pt idx="25">
                  <c:v>0.14290809307940247</c:v>
                </c:pt>
                <c:pt idx="26">
                  <c:v>0.13648705261400548</c:v>
                </c:pt>
                <c:pt idx="27">
                  <c:v>0.13006601214860844</c:v>
                </c:pt>
                <c:pt idx="28">
                  <c:v>0.12236076359013207</c:v>
                </c:pt>
                <c:pt idx="29">
                  <c:v>0.11722393121781446</c:v>
                </c:pt>
                <c:pt idx="30">
                  <c:v>0.10823447456625862</c:v>
                </c:pt>
                <c:pt idx="31">
                  <c:v>0.10438185028702041</c:v>
                </c:pt>
                <c:pt idx="32">
                  <c:v>9.6676601728544004E-2</c:v>
                </c:pt>
                <c:pt idx="33">
                  <c:v>9.1539769356226375E-2</c:v>
                </c:pt>
                <c:pt idx="34">
                  <c:v>8.5118728890829387E-2</c:v>
                </c:pt>
                <c:pt idx="35">
                  <c:v>7.8697688425432372E-2</c:v>
                </c:pt>
                <c:pt idx="36">
                  <c:v>7.3560856053114743E-2</c:v>
                </c:pt>
                <c:pt idx="37">
                  <c:v>6.9708231773876556E-2</c:v>
                </c:pt>
                <c:pt idx="38">
                  <c:v>6.3158770499171568E-2</c:v>
                </c:pt>
                <c:pt idx="39">
                  <c:v>5.7379834080314246E-2</c:v>
                </c:pt>
                <c:pt idx="40">
                  <c:v>5.7379834080314246E-2</c:v>
                </c:pt>
                <c:pt idx="41">
                  <c:v>4.6078802861215573E-2</c:v>
                </c:pt>
                <c:pt idx="42">
                  <c:v>4.4666173958828187E-2</c:v>
                </c:pt>
                <c:pt idx="43">
                  <c:v>3.8887237539970892E-2</c:v>
                </c:pt>
                <c:pt idx="44">
                  <c:v>3.3878825976961235E-2</c:v>
                </c:pt>
                <c:pt idx="45">
                  <c:v>2.8613572795335662E-2</c:v>
                </c:pt>
                <c:pt idx="46">
                  <c:v>2.6430419037100611E-2</c:v>
                </c:pt>
                <c:pt idx="47">
                  <c:v>2.2834636376478368E-2</c:v>
                </c:pt>
                <c:pt idx="48">
                  <c:v>1.9624116143779846E-2</c:v>
                </c:pt>
                <c:pt idx="49">
                  <c:v>1.5771491864541631E-2</c:v>
                </c:pt>
                <c:pt idx="50">
                  <c:v>1.1918867585303444E-2</c:v>
                </c:pt>
                <c:pt idx="51">
                  <c:v>6.7820352129858152E-3</c:v>
                </c:pt>
                <c:pt idx="52">
                  <c:v>4.2136190268270146E-3</c:v>
                </c:pt>
                <c:pt idx="53">
                  <c:v>2.9294109337476282E-3</c:v>
                </c:pt>
              </c:numCache>
            </c:numRef>
          </c:xVal>
          <c:yVal>
            <c:numRef>
              <c:f>'Velocidad de secado'!$L$25:$L$78</c:f>
              <c:numCache>
                <c:formatCode>0.0000</c:formatCode>
                <c:ptCount val="54"/>
                <c:pt idx="0">
                  <c:v>3.160053744751778</c:v>
                </c:pt>
                <c:pt idx="1">
                  <c:v>0.80682223270257858</c:v>
                </c:pt>
                <c:pt idx="2">
                  <c:v>0.77320463967332509</c:v>
                </c:pt>
                <c:pt idx="3">
                  <c:v>1.4455565002587878</c:v>
                </c:pt>
                <c:pt idx="4">
                  <c:v>1.1598069595099731</c:v>
                </c:pt>
                <c:pt idx="5">
                  <c:v>1.6976884479783345</c:v>
                </c:pt>
                <c:pt idx="6">
                  <c:v>1.1429981629953172</c:v>
                </c:pt>
                <c:pt idx="7">
                  <c:v>1.2438509420831649</c:v>
                </c:pt>
                <c:pt idx="8">
                  <c:v>1.4623652967734437</c:v>
                </c:pt>
                <c:pt idx="9">
                  <c:v>1.5296004828319651</c:v>
                </c:pt>
                <c:pt idx="10">
                  <c:v>1.1261893664806906</c:v>
                </c:pt>
                <c:pt idx="11">
                  <c:v>1.2102333490538788</c:v>
                </c:pt>
                <c:pt idx="12">
                  <c:v>1.2774685351124113</c:v>
                </c:pt>
                <c:pt idx="13">
                  <c:v>1.1261893664806977</c:v>
                </c:pt>
                <c:pt idx="14">
                  <c:v>1.1261893664806977</c:v>
                </c:pt>
                <c:pt idx="15">
                  <c:v>1.2438509420831214</c:v>
                </c:pt>
                <c:pt idx="16">
                  <c:v>0.80682223270261499</c:v>
                </c:pt>
                <c:pt idx="17">
                  <c:v>1.5296004828319651</c:v>
                </c:pt>
                <c:pt idx="18">
                  <c:v>0.90767501179041898</c:v>
                </c:pt>
                <c:pt idx="19">
                  <c:v>1.0253365873928499</c:v>
                </c:pt>
                <c:pt idx="20">
                  <c:v>1.0925717734514153</c:v>
                </c:pt>
                <c:pt idx="21">
                  <c:v>1.1261893664806977</c:v>
                </c:pt>
                <c:pt idx="22">
                  <c:v>0.89086621527576326</c:v>
                </c:pt>
                <c:pt idx="23">
                  <c:v>1.1766157560245998</c:v>
                </c:pt>
                <c:pt idx="24">
                  <c:v>0.67235186058548457</c:v>
                </c:pt>
                <c:pt idx="25">
                  <c:v>0.84043982573185383</c:v>
                </c:pt>
                <c:pt idx="26">
                  <c:v>0.84043982573186116</c:v>
                </c:pt>
                <c:pt idx="27">
                  <c:v>1.0085277908782233</c:v>
                </c:pt>
                <c:pt idx="28">
                  <c:v>0.67235186058548457</c:v>
                </c:pt>
                <c:pt idx="29">
                  <c:v>1.1766157560246036</c:v>
                </c:pt>
                <c:pt idx="30">
                  <c:v>0.50426389543911521</c:v>
                </c:pt>
                <c:pt idx="31">
                  <c:v>1.0085277908782269</c:v>
                </c:pt>
                <c:pt idx="32">
                  <c:v>0.67235186058548824</c:v>
                </c:pt>
                <c:pt idx="33">
                  <c:v>0.84043982573185383</c:v>
                </c:pt>
                <c:pt idx="34">
                  <c:v>0.8404398257318576</c:v>
                </c:pt>
                <c:pt idx="35">
                  <c:v>0.67235186058548824</c:v>
                </c:pt>
                <c:pt idx="36">
                  <c:v>0.50426389543911165</c:v>
                </c:pt>
                <c:pt idx="37">
                  <c:v>0.85724862224649889</c:v>
                </c:pt>
                <c:pt idx="38">
                  <c:v>0.75639584315867281</c:v>
                </c:pt>
                <c:pt idx="39">
                  <c:v>0</c:v>
                </c:pt>
                <c:pt idx="40">
                  <c:v>1.4791740932880595</c:v>
                </c:pt>
                <c:pt idx="41">
                  <c:v>0.18489676166101426</c:v>
                </c:pt>
                <c:pt idx="42">
                  <c:v>0.75639584315866926</c:v>
                </c:pt>
                <c:pt idx="43">
                  <c:v>0.65554306407084684</c:v>
                </c:pt>
                <c:pt idx="44">
                  <c:v>0.68916065710012586</c:v>
                </c:pt>
                <c:pt idx="45">
                  <c:v>0.28574954074884024</c:v>
                </c:pt>
                <c:pt idx="46">
                  <c:v>0.47064630240982902</c:v>
                </c:pt>
                <c:pt idx="47">
                  <c:v>0.42021991286593058</c:v>
                </c:pt>
                <c:pt idx="48">
                  <c:v>0.50426389543911521</c:v>
                </c:pt>
                <c:pt idx="49">
                  <c:v>0.50426389543911165</c:v>
                </c:pt>
                <c:pt idx="50">
                  <c:v>0.67235186058548824</c:v>
                </c:pt>
                <c:pt idx="51">
                  <c:v>0.33617593029274229</c:v>
                </c:pt>
                <c:pt idx="52">
                  <c:v>0.16808796514636931</c:v>
                </c:pt>
                <c:pt idx="53">
                  <c:v>-7.2344521048919508E-3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DB-4468-BC17-CC063EC06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066880"/>
        <c:axId val="265068800"/>
      </c:scatterChart>
      <c:valAx>
        <c:axId val="26506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 libre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068800"/>
        <c:crosses val="autoZero"/>
        <c:crossBetween val="midCat"/>
      </c:valAx>
      <c:valAx>
        <c:axId val="26506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 de secado 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06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Velocidad</a:t>
            </a:r>
            <a:r>
              <a:rPr lang="es-MX" baseline="0"/>
              <a:t> de secado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186954083637253"/>
                  <c:y val="-2.3539739913397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'Velocidad de secado'!$K$28:$K$78</c:f>
              <c:numCache>
                <c:formatCode>0.0000</c:formatCode>
                <c:ptCount val="51"/>
                <c:pt idx="0">
                  <c:v>0.34170350588809395</c:v>
                </c:pt>
                <c:pt idx="1">
                  <c:v>0.33065931628761114</c:v>
                </c:pt>
                <c:pt idx="2">
                  <c:v>0.32179828044536318</c:v>
                </c:pt>
                <c:pt idx="3">
                  <c:v>0.30882777870526135</c:v>
                </c:pt>
                <c:pt idx="4">
                  <c:v>0.30009516367232147</c:v>
                </c:pt>
                <c:pt idx="5">
                  <c:v>0.29059202378353377</c:v>
                </c:pt>
                <c:pt idx="6">
                  <c:v>0.27941941337374288</c:v>
                </c:pt>
                <c:pt idx="7">
                  <c:v>0.26773311972672043</c:v>
                </c:pt>
                <c:pt idx="8">
                  <c:v>0.25912892550308841</c:v>
                </c:pt>
                <c:pt idx="9">
                  <c:v>0.24988262723291668</c:v>
                </c:pt>
                <c:pt idx="10">
                  <c:v>0.24012264572551331</c:v>
                </c:pt>
                <c:pt idx="11">
                  <c:v>0.23151845150188125</c:v>
                </c:pt>
                <c:pt idx="12">
                  <c:v>0.22291425727824918</c:v>
                </c:pt>
                <c:pt idx="13">
                  <c:v>0.21341111738946181</c:v>
                </c:pt>
                <c:pt idx="14">
                  <c:v>0.20724691854268043</c:v>
                </c:pt>
                <c:pt idx="15">
                  <c:v>0.19556062489565798</c:v>
                </c:pt>
                <c:pt idx="16">
                  <c:v>0.18862590119302911</c:v>
                </c:pt>
                <c:pt idx="17">
                  <c:v>0.18079223182524487</c:v>
                </c:pt>
                <c:pt idx="18">
                  <c:v>0.17244487922022875</c:v>
                </c:pt>
                <c:pt idx="19">
                  <c:v>0.16384068499659668</c:v>
                </c:pt>
                <c:pt idx="20">
                  <c:v>0.15703438210327589</c:v>
                </c:pt>
                <c:pt idx="21">
                  <c:v>0.14804492545172007</c:v>
                </c:pt>
                <c:pt idx="22">
                  <c:v>0.14290809307940247</c:v>
                </c:pt>
                <c:pt idx="23">
                  <c:v>0.13648705261400548</c:v>
                </c:pt>
                <c:pt idx="24">
                  <c:v>0.13006601214860844</c:v>
                </c:pt>
                <c:pt idx="25">
                  <c:v>0.12236076359013207</c:v>
                </c:pt>
                <c:pt idx="26">
                  <c:v>0.11722393121781446</c:v>
                </c:pt>
                <c:pt idx="27">
                  <c:v>0.10823447456625862</c:v>
                </c:pt>
                <c:pt idx="28">
                  <c:v>0.10438185028702041</c:v>
                </c:pt>
                <c:pt idx="29">
                  <c:v>9.6676601728544004E-2</c:v>
                </c:pt>
                <c:pt idx="30">
                  <c:v>9.1539769356226375E-2</c:v>
                </c:pt>
                <c:pt idx="31">
                  <c:v>8.5118728890829387E-2</c:v>
                </c:pt>
                <c:pt idx="32">
                  <c:v>7.8697688425432372E-2</c:v>
                </c:pt>
                <c:pt idx="33">
                  <c:v>7.3560856053114743E-2</c:v>
                </c:pt>
                <c:pt idx="34">
                  <c:v>6.9708231773876556E-2</c:v>
                </c:pt>
                <c:pt idx="35">
                  <c:v>6.3158770499171568E-2</c:v>
                </c:pt>
                <c:pt idx="36">
                  <c:v>5.7379834080314246E-2</c:v>
                </c:pt>
                <c:pt idx="37">
                  <c:v>5.7379834080314246E-2</c:v>
                </c:pt>
                <c:pt idx="38">
                  <c:v>4.6078802861215573E-2</c:v>
                </c:pt>
                <c:pt idx="39">
                  <c:v>4.4666173958828187E-2</c:v>
                </c:pt>
                <c:pt idx="40">
                  <c:v>3.8887237539970892E-2</c:v>
                </c:pt>
                <c:pt idx="41">
                  <c:v>3.3878825976961235E-2</c:v>
                </c:pt>
                <c:pt idx="42">
                  <c:v>2.8613572795335662E-2</c:v>
                </c:pt>
                <c:pt idx="43">
                  <c:v>2.6430419037100611E-2</c:v>
                </c:pt>
                <c:pt idx="44">
                  <c:v>2.2834636376478368E-2</c:v>
                </c:pt>
                <c:pt idx="45">
                  <c:v>1.9624116143779846E-2</c:v>
                </c:pt>
                <c:pt idx="46">
                  <c:v>1.5771491864541631E-2</c:v>
                </c:pt>
                <c:pt idx="47">
                  <c:v>1.1918867585303444E-2</c:v>
                </c:pt>
                <c:pt idx="48">
                  <c:v>6.7820352129858152E-3</c:v>
                </c:pt>
                <c:pt idx="49">
                  <c:v>4.2136190268270146E-3</c:v>
                </c:pt>
                <c:pt idx="50">
                  <c:v>2.9294109337476282E-3</c:v>
                </c:pt>
              </c:numCache>
            </c:numRef>
          </c:xVal>
          <c:yVal>
            <c:numRef>
              <c:f>'Velocidad de secado'!$M$28:$M$77</c:f>
              <c:numCache>
                <c:formatCode>0.0000</c:formatCode>
                <c:ptCount val="50"/>
                <c:pt idx="0">
                  <c:v>1.3026817298843805</c:v>
                </c:pt>
                <c:pt idx="1">
                  <c:v>1.4287477037441538</c:v>
                </c:pt>
                <c:pt idx="2">
                  <c:v>1.420343305486826</c:v>
                </c:pt>
                <c:pt idx="3">
                  <c:v>1.1934245525392411</c:v>
                </c:pt>
                <c:pt idx="4">
                  <c:v>1.3531081194283043</c:v>
                </c:pt>
                <c:pt idx="5">
                  <c:v>1.4959828898027046</c:v>
                </c:pt>
                <c:pt idx="6">
                  <c:v>1.3278949246563279</c:v>
                </c:pt>
                <c:pt idx="7">
                  <c:v>1.1682113577672846</c:v>
                </c:pt>
                <c:pt idx="8">
                  <c:v>1.243850942083145</c:v>
                </c:pt>
                <c:pt idx="9">
                  <c:v>1.2018289507965545</c:v>
                </c:pt>
                <c:pt idx="10">
                  <c:v>1.1261893664806977</c:v>
                </c:pt>
                <c:pt idx="11">
                  <c:v>1.1850201542819097</c:v>
                </c:pt>
                <c:pt idx="12">
                  <c:v>1.0253365873928681</c:v>
                </c:pt>
                <c:pt idx="13">
                  <c:v>1.1682113577672901</c:v>
                </c:pt>
                <c:pt idx="14">
                  <c:v>1.218637747311192</c:v>
                </c:pt>
                <c:pt idx="15">
                  <c:v>0.96650579959163441</c:v>
                </c:pt>
                <c:pt idx="16">
                  <c:v>1.0589541804221327</c:v>
                </c:pt>
                <c:pt idx="17">
                  <c:v>1.1093805699660564</c:v>
                </c:pt>
                <c:pt idx="18">
                  <c:v>1.0085277908782304</c:v>
                </c:pt>
                <c:pt idx="19">
                  <c:v>1.0337409856501816</c:v>
                </c:pt>
                <c:pt idx="20">
                  <c:v>0.92448380830504218</c:v>
                </c:pt>
                <c:pt idx="21">
                  <c:v>0.75639584315866926</c:v>
                </c:pt>
                <c:pt idx="22">
                  <c:v>0.84043982573185749</c:v>
                </c:pt>
                <c:pt idx="23">
                  <c:v>0.92448380830504218</c:v>
                </c:pt>
                <c:pt idx="24">
                  <c:v>0.84043982573185394</c:v>
                </c:pt>
                <c:pt idx="25">
                  <c:v>0.92448380830504406</c:v>
                </c:pt>
                <c:pt idx="26">
                  <c:v>0.84043982573185938</c:v>
                </c:pt>
                <c:pt idx="27">
                  <c:v>0.75639584315867103</c:v>
                </c:pt>
                <c:pt idx="28">
                  <c:v>0.84043982573185749</c:v>
                </c:pt>
                <c:pt idx="29">
                  <c:v>0.75639584315867103</c:v>
                </c:pt>
                <c:pt idx="30">
                  <c:v>0.84043982573185572</c:v>
                </c:pt>
                <c:pt idx="31">
                  <c:v>0.75639584315867292</c:v>
                </c:pt>
                <c:pt idx="32">
                  <c:v>0.58830787801229989</c:v>
                </c:pt>
                <c:pt idx="33">
                  <c:v>0.68075625884280533</c:v>
                </c:pt>
                <c:pt idx="34">
                  <c:v>0.8068222327025858</c:v>
                </c:pt>
                <c:pt idx="35">
                  <c:v>0.3781979215793364</c:v>
                </c:pt>
                <c:pt idx="36">
                  <c:v>0.73958704664402974</c:v>
                </c:pt>
                <c:pt idx="37">
                  <c:v>0.83203542747453685</c:v>
                </c:pt>
                <c:pt idx="38">
                  <c:v>0.47064630240984173</c:v>
                </c:pt>
                <c:pt idx="39">
                  <c:v>0.70596945361475805</c:v>
                </c:pt>
                <c:pt idx="40">
                  <c:v>0.67235186058548635</c:v>
                </c:pt>
                <c:pt idx="41">
                  <c:v>0.48745509892448302</c:v>
                </c:pt>
                <c:pt idx="42">
                  <c:v>0.37819792157933463</c:v>
                </c:pt>
                <c:pt idx="43">
                  <c:v>0.4454331076378798</c:v>
                </c:pt>
                <c:pt idx="44">
                  <c:v>0.46224190415252286</c:v>
                </c:pt>
                <c:pt idx="45">
                  <c:v>0.50426389543911343</c:v>
                </c:pt>
                <c:pt idx="46">
                  <c:v>0.58830787801229989</c:v>
                </c:pt>
                <c:pt idx="47">
                  <c:v>0.50426389543911521</c:v>
                </c:pt>
                <c:pt idx="48">
                  <c:v>0.25213194771955583</c:v>
                </c:pt>
                <c:pt idx="49">
                  <c:v>8.0426756520738676E-2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FB-4D51-899A-7B955E203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690912"/>
        <c:axId val="606699072"/>
      </c:scatterChart>
      <c:valAx>
        <c:axId val="606690912"/>
        <c:scaling>
          <c:orientation val="minMax"/>
          <c:max val="0.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 libre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99072"/>
        <c:crosses val="autoZero"/>
        <c:crossBetween val="midCat"/>
        <c:majorUnit val="0.1"/>
        <c:minorUnit val="2.0000000000000004E-2"/>
      </c:valAx>
      <c:valAx>
        <c:axId val="6066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alpha val="10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 de secado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9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093547681539806"/>
                  <c:y val="-0.13833552055993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'Velocidad de secado'!$J$28:$J$77</c:f>
              <c:numCache>
                <c:formatCode>0.0000</c:formatCode>
                <c:ptCount val="50"/>
                <c:pt idx="0">
                  <c:v>0.48300350588809393</c:v>
                </c:pt>
                <c:pt idx="1">
                  <c:v>0.47195931628761117</c:v>
                </c:pt>
                <c:pt idx="2">
                  <c:v>0.46309828044536322</c:v>
                </c:pt>
                <c:pt idx="3">
                  <c:v>0.45012777870526138</c:v>
                </c:pt>
                <c:pt idx="4">
                  <c:v>0.44139516367232146</c:v>
                </c:pt>
                <c:pt idx="5">
                  <c:v>0.43189202378353381</c:v>
                </c:pt>
                <c:pt idx="6">
                  <c:v>0.42071941337374291</c:v>
                </c:pt>
                <c:pt idx="7">
                  <c:v>0.40903311972672046</c:v>
                </c:pt>
                <c:pt idx="8">
                  <c:v>0.4004289255030884</c:v>
                </c:pt>
                <c:pt idx="9">
                  <c:v>0.39118262723291669</c:v>
                </c:pt>
                <c:pt idx="10">
                  <c:v>0.38142264572551332</c:v>
                </c:pt>
                <c:pt idx="11">
                  <c:v>0.37281845150188125</c:v>
                </c:pt>
                <c:pt idx="12">
                  <c:v>0.36421425727824919</c:v>
                </c:pt>
                <c:pt idx="13">
                  <c:v>0.35471111738946182</c:v>
                </c:pt>
                <c:pt idx="14">
                  <c:v>0.34854691854268044</c:v>
                </c:pt>
                <c:pt idx="15">
                  <c:v>0.33686062489565799</c:v>
                </c:pt>
                <c:pt idx="16">
                  <c:v>0.32992590119302911</c:v>
                </c:pt>
                <c:pt idx="17">
                  <c:v>0.32209223182524488</c:v>
                </c:pt>
                <c:pt idx="18">
                  <c:v>0.31374487922022876</c:v>
                </c:pt>
                <c:pt idx="19">
                  <c:v>0.30514068499659669</c:v>
                </c:pt>
                <c:pt idx="20">
                  <c:v>0.2983343821032759</c:v>
                </c:pt>
                <c:pt idx="21">
                  <c:v>0.28934492545172008</c:v>
                </c:pt>
                <c:pt idx="22">
                  <c:v>0.28420809307940248</c:v>
                </c:pt>
                <c:pt idx="23">
                  <c:v>0.27778705261400549</c:v>
                </c:pt>
                <c:pt idx="24">
                  <c:v>0.27136601214860845</c:v>
                </c:pt>
                <c:pt idx="25">
                  <c:v>0.26366076359013207</c:v>
                </c:pt>
                <c:pt idx="26">
                  <c:v>0.25852393121781447</c:v>
                </c:pt>
                <c:pt idx="27">
                  <c:v>0.24953447456625863</c:v>
                </c:pt>
                <c:pt idx="28">
                  <c:v>0.24568185028702041</c:v>
                </c:pt>
                <c:pt idx="29">
                  <c:v>0.23797660172854401</c:v>
                </c:pt>
                <c:pt idx="30">
                  <c:v>0.23283976935622638</c:v>
                </c:pt>
                <c:pt idx="31">
                  <c:v>0.2264187288908294</c:v>
                </c:pt>
                <c:pt idx="32">
                  <c:v>0.21999768842543238</c:v>
                </c:pt>
                <c:pt idx="33">
                  <c:v>0.21486085605311475</c:v>
                </c:pt>
                <c:pt idx="34">
                  <c:v>0.21100823177387656</c:v>
                </c:pt>
                <c:pt idx="35">
                  <c:v>0.20445877049917158</c:v>
                </c:pt>
                <c:pt idx="36">
                  <c:v>0.19867983408031425</c:v>
                </c:pt>
                <c:pt idx="37">
                  <c:v>0.19867983408031425</c:v>
                </c:pt>
                <c:pt idx="38">
                  <c:v>0.18737880286121558</c:v>
                </c:pt>
                <c:pt idx="39">
                  <c:v>0.1859661739588282</c:v>
                </c:pt>
                <c:pt idx="40">
                  <c:v>0.1801872375399709</c:v>
                </c:pt>
                <c:pt idx="41">
                  <c:v>0.17517882597696124</c:v>
                </c:pt>
                <c:pt idx="42">
                  <c:v>0.16991357279533567</c:v>
                </c:pt>
                <c:pt idx="43">
                  <c:v>0.16773041903710062</c:v>
                </c:pt>
                <c:pt idx="44">
                  <c:v>0.16413463637647838</c:v>
                </c:pt>
                <c:pt idx="45">
                  <c:v>0.16092411614377986</c:v>
                </c:pt>
                <c:pt idx="46">
                  <c:v>0.15707149186454164</c:v>
                </c:pt>
                <c:pt idx="47">
                  <c:v>0.15321886758530345</c:v>
                </c:pt>
                <c:pt idx="48">
                  <c:v>0.14808203521298582</c:v>
                </c:pt>
                <c:pt idx="49">
                  <c:v>0.14551361902682702</c:v>
                </c:pt>
              </c:numCache>
            </c:numRef>
          </c:xVal>
          <c:yVal>
            <c:numRef>
              <c:f>'Velocidad de secado'!$N$28:$N$77</c:f>
              <c:numCache>
                <c:formatCode>General</c:formatCode>
                <c:ptCount val="50"/>
                <c:pt idx="0">
                  <c:v>1.2666431012136088</c:v>
                </c:pt>
                <c:pt idx="1">
                  <c:v>1.016260162601635</c:v>
                </c:pt>
                <c:pt idx="2">
                  <c:v>1.4875692235183071</c:v>
                </c:pt>
                <c:pt idx="3">
                  <c:v>1.0015317544479783</c:v>
                </c:pt>
                <c:pt idx="4">
                  <c:v>1.0899022033698678</c:v>
                </c:pt>
                <c:pt idx="5">
                  <c:v>1.2813715093672782</c:v>
                </c:pt>
                <c:pt idx="6">
                  <c:v>1.3402851419818416</c:v>
                </c:pt>
                <c:pt idx="7">
                  <c:v>0.98680334629434041</c:v>
                </c:pt>
                <c:pt idx="8">
                  <c:v>1.060445387062567</c:v>
                </c:pt>
                <c:pt idx="9">
                  <c:v>1.119359019677143</c:v>
                </c:pt>
                <c:pt idx="10">
                  <c:v>0.98680334629434041</c:v>
                </c:pt>
                <c:pt idx="11">
                  <c:v>0.98680334629434041</c:v>
                </c:pt>
                <c:pt idx="12">
                  <c:v>1.0899022033698358</c:v>
                </c:pt>
                <c:pt idx="13">
                  <c:v>0.70696359137507225</c:v>
                </c:pt>
                <c:pt idx="14">
                  <c:v>1.3402851419818416</c:v>
                </c:pt>
                <c:pt idx="15">
                  <c:v>0.79533404029693633</c:v>
                </c:pt>
                <c:pt idx="16">
                  <c:v>0.89843289737243803</c:v>
                </c:pt>
                <c:pt idx="17">
                  <c:v>0.95734652998703973</c:v>
                </c:pt>
                <c:pt idx="18">
                  <c:v>0.98680334629434041</c:v>
                </c:pt>
                <c:pt idx="19">
                  <c:v>0.78060563214327316</c:v>
                </c:pt>
                <c:pt idx="20">
                  <c:v>1.0309885707552726</c:v>
                </c:pt>
                <c:pt idx="21">
                  <c:v>0.58913632614586908</c:v>
                </c:pt>
                <c:pt idx="22">
                  <c:v>0.73642040768233474</c:v>
                </c:pt>
                <c:pt idx="23">
                  <c:v>0.73642040768234107</c:v>
                </c:pt>
                <c:pt idx="24">
                  <c:v>0.88370448921880052</c:v>
                </c:pt>
                <c:pt idx="25">
                  <c:v>0.58913632614586908</c:v>
                </c:pt>
                <c:pt idx="26">
                  <c:v>1.0309885707552757</c:v>
                </c:pt>
                <c:pt idx="27">
                  <c:v>0.44185224460940342</c:v>
                </c:pt>
                <c:pt idx="28">
                  <c:v>0.88370448921880373</c:v>
                </c:pt>
                <c:pt idx="29">
                  <c:v>0.5891363261458723</c:v>
                </c:pt>
                <c:pt idx="30">
                  <c:v>0.73642040768233474</c:v>
                </c:pt>
                <c:pt idx="31">
                  <c:v>0.73642040768233796</c:v>
                </c:pt>
                <c:pt idx="32">
                  <c:v>0.5891363261458723</c:v>
                </c:pt>
                <c:pt idx="33">
                  <c:v>0.44185224460940026</c:v>
                </c:pt>
                <c:pt idx="34">
                  <c:v>0.75114881583598836</c:v>
                </c:pt>
                <c:pt idx="35">
                  <c:v>0.66277836691410508</c:v>
                </c:pt>
                <c:pt idx="36">
                  <c:v>0</c:v>
                </c:pt>
                <c:pt idx="37">
                  <c:v>1.2960999175209063</c:v>
                </c:pt>
                <c:pt idx="38">
                  <c:v>0.16201248969011925</c:v>
                </c:pt>
                <c:pt idx="39">
                  <c:v>0.66277836691410197</c:v>
                </c:pt>
                <c:pt idx="40">
                  <c:v>0.57440791799222191</c:v>
                </c:pt>
                <c:pt idx="41">
                  <c:v>0.60386473429951948</c:v>
                </c:pt>
                <c:pt idx="42">
                  <c:v>0.2503829386120025</c:v>
                </c:pt>
                <c:pt idx="43">
                  <c:v>0.41239542830209946</c:v>
                </c:pt>
                <c:pt idx="44">
                  <c:v>0.36821020384117054</c:v>
                </c:pt>
                <c:pt idx="45">
                  <c:v>0.44185224460940342</c:v>
                </c:pt>
                <c:pt idx="46">
                  <c:v>0.44185224460940026</c:v>
                </c:pt>
                <c:pt idx="47">
                  <c:v>0.5891363261458723</c:v>
                </c:pt>
                <c:pt idx="48">
                  <c:v>0.29456816307293454</c:v>
                </c:pt>
                <c:pt idx="49">
                  <c:v>0.14728408153646569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F5-4AF2-90A7-171DD0BE0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672751"/>
        <c:axId val="1699677071"/>
      </c:scatterChart>
      <c:valAx>
        <c:axId val="1699672751"/>
        <c:scaling>
          <c:orientation val="minMax"/>
          <c:max val="0.5"/>
          <c:min val="5.000000000000001E-2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99677071"/>
        <c:crosses val="autoZero"/>
        <c:crossBetween val="midCat"/>
      </c:valAx>
      <c:valAx>
        <c:axId val="169967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9967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Peso del sólido a</a:t>
            </a:r>
            <a:r>
              <a:rPr lang="es-MX" b="1" baseline="0"/>
              <a:t> través del tiempo.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'Gráficos EQ5'!$B$8:$B$62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'Gráficos EQ5'!$D$8:$D$62</c:f>
              <c:numCache>
                <c:formatCode>General</c:formatCode>
                <c:ptCount val="55"/>
                <c:pt idx="0">
                  <c:v>1183</c:v>
                </c:pt>
                <c:pt idx="1">
                  <c:v>1164.2</c:v>
                </c:pt>
                <c:pt idx="2">
                  <c:v>1159.4000000000001</c:v>
                </c:pt>
                <c:pt idx="3">
                  <c:v>1154.8</c:v>
                </c:pt>
                <c:pt idx="4">
                  <c:v>1146.2</c:v>
                </c:pt>
                <c:pt idx="5">
                  <c:v>1139.3</c:v>
                </c:pt>
                <c:pt idx="6">
                  <c:v>1129.2</c:v>
                </c:pt>
                <c:pt idx="7">
                  <c:v>1122.4000000000001</c:v>
                </c:pt>
                <c:pt idx="8">
                  <c:v>1115</c:v>
                </c:pt>
                <c:pt idx="9">
                  <c:v>1106.3</c:v>
                </c:pt>
                <c:pt idx="10">
                  <c:v>1097.2</c:v>
                </c:pt>
                <c:pt idx="11">
                  <c:v>1090.5</c:v>
                </c:pt>
                <c:pt idx="12">
                  <c:v>1083.3</c:v>
                </c:pt>
                <c:pt idx="13">
                  <c:v>1075.7</c:v>
                </c:pt>
                <c:pt idx="14">
                  <c:v>1069</c:v>
                </c:pt>
                <c:pt idx="15">
                  <c:v>1062.3</c:v>
                </c:pt>
                <c:pt idx="16">
                  <c:v>1054.9000000000001</c:v>
                </c:pt>
                <c:pt idx="17">
                  <c:v>1050.0999999999999</c:v>
                </c:pt>
                <c:pt idx="18">
                  <c:v>1041</c:v>
                </c:pt>
                <c:pt idx="19">
                  <c:v>1035.5999999999999</c:v>
                </c:pt>
                <c:pt idx="20">
                  <c:v>1029.5</c:v>
                </c:pt>
                <c:pt idx="21">
                  <c:v>1023</c:v>
                </c:pt>
                <c:pt idx="22">
                  <c:v>1016.3</c:v>
                </c:pt>
                <c:pt idx="23">
                  <c:v>1011</c:v>
                </c:pt>
                <c:pt idx="24">
                  <c:v>1004</c:v>
                </c:pt>
                <c:pt idx="25">
                  <c:v>1000</c:v>
                </c:pt>
                <c:pt idx="26">
                  <c:v>995</c:v>
                </c:pt>
                <c:pt idx="27">
                  <c:v>990</c:v>
                </c:pt>
                <c:pt idx="28">
                  <c:v>984</c:v>
                </c:pt>
                <c:pt idx="29">
                  <c:v>980</c:v>
                </c:pt>
                <c:pt idx="30">
                  <c:v>973</c:v>
                </c:pt>
                <c:pt idx="31">
                  <c:v>970</c:v>
                </c:pt>
                <c:pt idx="32">
                  <c:v>964</c:v>
                </c:pt>
                <c:pt idx="33">
                  <c:v>960</c:v>
                </c:pt>
                <c:pt idx="34">
                  <c:v>955</c:v>
                </c:pt>
                <c:pt idx="35">
                  <c:v>950</c:v>
                </c:pt>
                <c:pt idx="36">
                  <c:v>946</c:v>
                </c:pt>
                <c:pt idx="37">
                  <c:v>943</c:v>
                </c:pt>
                <c:pt idx="38">
                  <c:v>937.9</c:v>
                </c:pt>
                <c:pt idx="39">
                  <c:v>933.4</c:v>
                </c:pt>
                <c:pt idx="40">
                  <c:v>933.4</c:v>
                </c:pt>
                <c:pt idx="41">
                  <c:v>924.6</c:v>
                </c:pt>
                <c:pt idx="42">
                  <c:v>923.5</c:v>
                </c:pt>
                <c:pt idx="43">
                  <c:v>919</c:v>
                </c:pt>
                <c:pt idx="44">
                  <c:v>915.1</c:v>
                </c:pt>
                <c:pt idx="45">
                  <c:v>911</c:v>
                </c:pt>
                <c:pt idx="46">
                  <c:v>909.3</c:v>
                </c:pt>
                <c:pt idx="47">
                  <c:v>906.5</c:v>
                </c:pt>
                <c:pt idx="48">
                  <c:v>904</c:v>
                </c:pt>
                <c:pt idx="49">
                  <c:v>901</c:v>
                </c:pt>
                <c:pt idx="50">
                  <c:v>898</c:v>
                </c:pt>
                <c:pt idx="51">
                  <c:v>894</c:v>
                </c:pt>
                <c:pt idx="52">
                  <c:v>892</c:v>
                </c:pt>
                <c:pt idx="53">
                  <c:v>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F7-442C-9994-7F0DC35FB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Masa del sólido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Flujo de aire dado</a:t>
            </a:r>
            <a:r>
              <a:rPr lang="es-MX" b="1" baseline="0"/>
              <a:t> por el sensor.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'Gráficos EQ5'!$B$8:$B$62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'Gráficos EQ5'!$E$8:$E$62</c:f>
              <c:numCache>
                <c:formatCode>General</c:formatCode>
                <c:ptCount val="55"/>
                <c:pt idx="0">
                  <c:v>1.3</c:v>
                </c:pt>
                <c:pt idx="1">
                  <c:v>1.35</c:v>
                </c:pt>
                <c:pt idx="2">
                  <c:v>1.32</c:v>
                </c:pt>
                <c:pt idx="3">
                  <c:v>1.25</c:v>
                </c:pt>
                <c:pt idx="4">
                  <c:v>1.26</c:v>
                </c:pt>
                <c:pt idx="5">
                  <c:v>1.25</c:v>
                </c:pt>
                <c:pt idx="6">
                  <c:v>1.21</c:v>
                </c:pt>
                <c:pt idx="7">
                  <c:v>1.21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1.07</c:v>
                </c:pt>
                <c:pt idx="14">
                  <c:v>1.1000000000000001</c:v>
                </c:pt>
                <c:pt idx="15">
                  <c:v>1</c:v>
                </c:pt>
                <c:pt idx="16">
                  <c:v>1</c:v>
                </c:pt>
                <c:pt idx="17">
                  <c:v>0.9</c:v>
                </c:pt>
                <c:pt idx="18">
                  <c:v>1.1000000000000001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1.2</c:v>
                </c:pt>
                <c:pt idx="31">
                  <c:v>1.2</c:v>
                </c:pt>
                <c:pt idx="32">
                  <c:v>1.3</c:v>
                </c:pt>
                <c:pt idx="33">
                  <c:v>1.3</c:v>
                </c:pt>
                <c:pt idx="34">
                  <c:v>1.4</c:v>
                </c:pt>
                <c:pt idx="35">
                  <c:v>1.3</c:v>
                </c:pt>
                <c:pt idx="36">
                  <c:v>1.3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1.2</c:v>
                </c:pt>
                <c:pt idx="41">
                  <c:v>1.29</c:v>
                </c:pt>
                <c:pt idx="42">
                  <c:v>1.31</c:v>
                </c:pt>
                <c:pt idx="43">
                  <c:v>1.29</c:v>
                </c:pt>
                <c:pt idx="44">
                  <c:v>1.32</c:v>
                </c:pt>
                <c:pt idx="45">
                  <c:v>1.32</c:v>
                </c:pt>
                <c:pt idx="46">
                  <c:v>1.35</c:v>
                </c:pt>
                <c:pt idx="47">
                  <c:v>1.35</c:v>
                </c:pt>
                <c:pt idx="48">
                  <c:v>1.34</c:v>
                </c:pt>
                <c:pt idx="49">
                  <c:v>1.4</c:v>
                </c:pt>
                <c:pt idx="50">
                  <c:v>1.4</c:v>
                </c:pt>
                <c:pt idx="51">
                  <c:v>1.35</c:v>
                </c:pt>
                <c:pt idx="52">
                  <c:v>1.35</c:v>
                </c:pt>
                <c:pt idx="53">
                  <c:v>1.33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F5-4B18-A652-771ABF2EE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Velocidad lineal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Temperatura de entrada</a:t>
            </a:r>
            <a:r>
              <a:rPr lang="es-MX" b="1" baseline="0"/>
              <a:t> con el tiempo.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'Gráficos EQ5'!$B$8:$B$62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'Gráficos EQ5'!$F$8:$F$62</c:f>
              <c:numCache>
                <c:formatCode>General</c:formatCode>
                <c:ptCount val="55"/>
                <c:pt idx="0">
                  <c:v>25.9</c:v>
                </c:pt>
                <c:pt idx="1">
                  <c:v>21.22</c:v>
                </c:pt>
                <c:pt idx="2">
                  <c:v>20.8</c:v>
                </c:pt>
                <c:pt idx="3">
                  <c:v>20.8</c:v>
                </c:pt>
                <c:pt idx="4">
                  <c:v>21.1</c:v>
                </c:pt>
                <c:pt idx="5">
                  <c:v>21.4</c:v>
                </c:pt>
                <c:pt idx="6">
                  <c:v>21.8</c:v>
                </c:pt>
                <c:pt idx="7">
                  <c:v>22.1</c:v>
                </c:pt>
                <c:pt idx="8">
                  <c:v>22.3</c:v>
                </c:pt>
                <c:pt idx="9">
                  <c:v>22.6</c:v>
                </c:pt>
                <c:pt idx="10">
                  <c:v>22.7</c:v>
                </c:pt>
                <c:pt idx="11">
                  <c:v>22.7</c:v>
                </c:pt>
                <c:pt idx="12">
                  <c:v>23</c:v>
                </c:pt>
                <c:pt idx="13">
                  <c:v>23.1</c:v>
                </c:pt>
                <c:pt idx="14">
                  <c:v>23.2</c:v>
                </c:pt>
                <c:pt idx="15">
                  <c:v>23.3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>
                  <c:v>23.7</c:v>
                </c:pt>
                <c:pt idx="20">
                  <c:v>24</c:v>
                </c:pt>
                <c:pt idx="21">
                  <c:v>24</c:v>
                </c:pt>
                <c:pt idx="22">
                  <c:v>24.1</c:v>
                </c:pt>
                <c:pt idx="23">
                  <c:v>24.1</c:v>
                </c:pt>
                <c:pt idx="24">
                  <c:v>24.3</c:v>
                </c:pt>
                <c:pt idx="25">
                  <c:v>24.2</c:v>
                </c:pt>
                <c:pt idx="26">
                  <c:v>24.2</c:v>
                </c:pt>
                <c:pt idx="27">
                  <c:v>24.5</c:v>
                </c:pt>
                <c:pt idx="28">
                  <c:v>24.6</c:v>
                </c:pt>
                <c:pt idx="29">
                  <c:v>24.6</c:v>
                </c:pt>
                <c:pt idx="30">
                  <c:v>24.8</c:v>
                </c:pt>
                <c:pt idx="31">
                  <c:v>24.7</c:v>
                </c:pt>
                <c:pt idx="32">
                  <c:v>24.8</c:v>
                </c:pt>
                <c:pt idx="33">
                  <c:v>24.8</c:v>
                </c:pt>
                <c:pt idx="34">
                  <c:v>24.9</c:v>
                </c:pt>
                <c:pt idx="35">
                  <c:v>24.9</c:v>
                </c:pt>
                <c:pt idx="36">
                  <c:v>25</c:v>
                </c:pt>
                <c:pt idx="37">
                  <c:v>24.9</c:v>
                </c:pt>
                <c:pt idx="38">
                  <c:v>24.8</c:v>
                </c:pt>
                <c:pt idx="39">
                  <c:v>24.9</c:v>
                </c:pt>
                <c:pt idx="40">
                  <c:v>24.9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24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18-443D-8538-11B6EEC03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28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Temperatura en el túnel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Temperatura de salida con el tiempo.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'Gráficos EQ5'!$B$8:$B$62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'Gráficos EQ5'!$H$8:$H$62</c:f>
              <c:numCache>
                <c:formatCode>General</c:formatCode>
                <c:ptCount val="55"/>
                <c:pt idx="0">
                  <c:v>20.3</c:v>
                </c:pt>
                <c:pt idx="1">
                  <c:v>19.8</c:v>
                </c:pt>
                <c:pt idx="2">
                  <c:v>19.399999999999999</c:v>
                </c:pt>
                <c:pt idx="3">
                  <c:v>19.2</c:v>
                </c:pt>
                <c:pt idx="4">
                  <c:v>20.100000000000001</c:v>
                </c:pt>
                <c:pt idx="5">
                  <c:v>20.399999999999999</c:v>
                </c:pt>
                <c:pt idx="6">
                  <c:v>20.7</c:v>
                </c:pt>
                <c:pt idx="7">
                  <c:v>20.9</c:v>
                </c:pt>
                <c:pt idx="8">
                  <c:v>21.2</c:v>
                </c:pt>
                <c:pt idx="9">
                  <c:v>21.3</c:v>
                </c:pt>
                <c:pt idx="10">
                  <c:v>21.5</c:v>
                </c:pt>
                <c:pt idx="11">
                  <c:v>21.6</c:v>
                </c:pt>
                <c:pt idx="12">
                  <c:v>21.7</c:v>
                </c:pt>
                <c:pt idx="13">
                  <c:v>21.9</c:v>
                </c:pt>
                <c:pt idx="14">
                  <c:v>22</c:v>
                </c:pt>
                <c:pt idx="15">
                  <c:v>22.1</c:v>
                </c:pt>
                <c:pt idx="16">
                  <c:v>22.2</c:v>
                </c:pt>
                <c:pt idx="17">
                  <c:v>22.2</c:v>
                </c:pt>
                <c:pt idx="18">
                  <c:v>22.5</c:v>
                </c:pt>
                <c:pt idx="19">
                  <c:v>22.5</c:v>
                </c:pt>
                <c:pt idx="20">
                  <c:v>22.6</c:v>
                </c:pt>
                <c:pt idx="21">
                  <c:v>22.6</c:v>
                </c:pt>
                <c:pt idx="22">
                  <c:v>22.7</c:v>
                </c:pt>
                <c:pt idx="23">
                  <c:v>22.8</c:v>
                </c:pt>
                <c:pt idx="24">
                  <c:v>22.9</c:v>
                </c:pt>
                <c:pt idx="25">
                  <c:v>22.8</c:v>
                </c:pt>
                <c:pt idx="26">
                  <c:v>22.9</c:v>
                </c:pt>
                <c:pt idx="27">
                  <c:v>23.1</c:v>
                </c:pt>
                <c:pt idx="28">
                  <c:v>23.1</c:v>
                </c:pt>
                <c:pt idx="29">
                  <c:v>23.3</c:v>
                </c:pt>
                <c:pt idx="30">
                  <c:v>23.3</c:v>
                </c:pt>
                <c:pt idx="31">
                  <c:v>23.3</c:v>
                </c:pt>
                <c:pt idx="32">
                  <c:v>23.4</c:v>
                </c:pt>
                <c:pt idx="33">
                  <c:v>23.3</c:v>
                </c:pt>
                <c:pt idx="34">
                  <c:v>23.5</c:v>
                </c:pt>
                <c:pt idx="35">
                  <c:v>23.5</c:v>
                </c:pt>
                <c:pt idx="36">
                  <c:v>23.6</c:v>
                </c:pt>
                <c:pt idx="37">
                  <c:v>23.5</c:v>
                </c:pt>
                <c:pt idx="38">
                  <c:v>23.5</c:v>
                </c:pt>
                <c:pt idx="39">
                  <c:v>23.8</c:v>
                </c:pt>
                <c:pt idx="40">
                  <c:v>23.4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23.9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3-4A74-A108-DDC490D5C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Temperatura en el túnel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Humedad de entrada con</a:t>
            </a:r>
            <a:r>
              <a:rPr lang="es-MX" b="1" baseline="0"/>
              <a:t> el tiempo.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'Gráficos EQ5'!$B$8:$B$62</c:f>
              <c:numCache>
                <c:formatCode>General</c:formatCode>
                <c:ptCount val="5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'Gráficos EQ5'!$G$8:$G$62</c:f>
              <c:numCache>
                <c:formatCode>0.00%</c:formatCode>
                <c:ptCount val="55"/>
                <c:pt idx="0">
                  <c:v>0.45</c:v>
                </c:pt>
                <c:pt idx="1">
                  <c:v>0.56399999999999995</c:v>
                </c:pt>
                <c:pt idx="2">
                  <c:v>0.57899999999999996</c:v>
                </c:pt>
                <c:pt idx="3">
                  <c:v>0.58299999999999996</c:v>
                </c:pt>
                <c:pt idx="4">
                  <c:v>0.57999999999999996</c:v>
                </c:pt>
                <c:pt idx="5">
                  <c:v>0.57399999999999995</c:v>
                </c:pt>
                <c:pt idx="6">
                  <c:v>0.56699999999999995</c:v>
                </c:pt>
                <c:pt idx="7">
                  <c:v>0.56200000000000006</c:v>
                </c:pt>
                <c:pt idx="8">
                  <c:v>0.55900000000000005</c:v>
                </c:pt>
                <c:pt idx="9">
                  <c:v>0.55900000000000005</c:v>
                </c:pt>
                <c:pt idx="10">
                  <c:v>0.55400000000000005</c:v>
                </c:pt>
                <c:pt idx="11">
                  <c:v>0.55400000000000005</c:v>
                </c:pt>
                <c:pt idx="12">
                  <c:v>0.54300000000000004</c:v>
                </c:pt>
                <c:pt idx="13">
                  <c:v>0.54200000000000004</c:v>
                </c:pt>
                <c:pt idx="14">
                  <c:v>0.54100000000000004</c:v>
                </c:pt>
                <c:pt idx="15">
                  <c:v>0.54400000000000004</c:v>
                </c:pt>
                <c:pt idx="16">
                  <c:v>0.54</c:v>
                </c:pt>
                <c:pt idx="17">
                  <c:v>0.53200000000000003</c:v>
                </c:pt>
                <c:pt idx="18">
                  <c:v>0.53500000000000003</c:v>
                </c:pt>
                <c:pt idx="19">
                  <c:v>0.53800000000000003</c:v>
                </c:pt>
                <c:pt idx="20">
                  <c:v>0.53100000000000003</c:v>
                </c:pt>
                <c:pt idx="21">
                  <c:v>0.53400000000000003</c:v>
                </c:pt>
                <c:pt idx="22">
                  <c:v>0.52300000000000002</c:v>
                </c:pt>
                <c:pt idx="23">
                  <c:v>0.52300000000000002</c:v>
                </c:pt>
                <c:pt idx="24">
                  <c:v>0.51800000000000002</c:v>
                </c:pt>
                <c:pt idx="25">
                  <c:v>0.51900000000000002</c:v>
                </c:pt>
                <c:pt idx="26">
                  <c:v>0.52</c:v>
                </c:pt>
                <c:pt idx="27">
                  <c:v>0.50800000000000001</c:v>
                </c:pt>
                <c:pt idx="28">
                  <c:v>0.5</c:v>
                </c:pt>
                <c:pt idx="29">
                  <c:v>0.502</c:v>
                </c:pt>
                <c:pt idx="30">
                  <c:v>0.501</c:v>
                </c:pt>
                <c:pt idx="31">
                  <c:v>0.503</c:v>
                </c:pt>
                <c:pt idx="32">
                  <c:v>0.5</c:v>
                </c:pt>
                <c:pt idx="33">
                  <c:v>0.504</c:v>
                </c:pt>
                <c:pt idx="34">
                  <c:v>0.505</c:v>
                </c:pt>
                <c:pt idx="35">
                  <c:v>0.50600000000000001</c:v>
                </c:pt>
                <c:pt idx="36">
                  <c:v>0.49399999999999999</c:v>
                </c:pt>
                <c:pt idx="37">
                  <c:v>0.49399999999999999</c:v>
                </c:pt>
                <c:pt idx="38">
                  <c:v>0.497</c:v>
                </c:pt>
                <c:pt idx="39">
                  <c:v>0.48799999999999999</c:v>
                </c:pt>
                <c:pt idx="40">
                  <c:v>0.48799999999999999</c:v>
                </c:pt>
                <c:pt idx="41">
                  <c:v>0.48599999999999999</c:v>
                </c:pt>
                <c:pt idx="42">
                  <c:v>0.48799999999999999</c:v>
                </c:pt>
                <c:pt idx="43">
                  <c:v>0.48599999999999999</c:v>
                </c:pt>
                <c:pt idx="44">
                  <c:v>0.497</c:v>
                </c:pt>
                <c:pt idx="45">
                  <c:v>0.505</c:v>
                </c:pt>
                <c:pt idx="46">
                  <c:v>0.51200000000000001</c:v>
                </c:pt>
                <c:pt idx="47">
                  <c:v>0.51700000000000002</c:v>
                </c:pt>
                <c:pt idx="48">
                  <c:v>0.52900000000000003</c:v>
                </c:pt>
                <c:pt idx="49">
                  <c:v>0.53600000000000003</c:v>
                </c:pt>
                <c:pt idx="50">
                  <c:v>0.54</c:v>
                </c:pt>
                <c:pt idx="51">
                  <c:v>0.54700000000000004</c:v>
                </c:pt>
                <c:pt idx="52">
                  <c:v>0.55299999999999994</c:v>
                </c:pt>
                <c:pt idx="53">
                  <c:v>0.56000000000000005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2AC-B39A-B07146EBB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0.6500000000000001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Humedad relativa del túnel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Humedad de salida con</a:t>
            </a:r>
            <a:r>
              <a:rPr lang="es-MX" b="1" baseline="0"/>
              <a:t> el tiempo.</a:t>
            </a:r>
            <a:endParaRPr lang="es-MX" b="1"/>
          </a:p>
        </c:rich>
      </c:tx>
      <c:layout>
        <c:manualLayout>
          <c:xMode val="edge"/>
          <c:yMode val="edge"/>
          <c:x val="0.16451772450609609"/>
          <c:y val="3.2026145439048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'Gráficos EQ5'!$B$9:$B$62</c:f>
              <c:numCache>
                <c:formatCode>General</c:formatCode>
                <c:ptCount val="5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</c:numCache>
            </c:numRef>
          </c:xVal>
          <c:yVal>
            <c:numRef>
              <c:f>'Gráficos EQ5'!$I$9:$I$62</c:f>
              <c:numCache>
                <c:formatCode>0.00%</c:formatCode>
                <c:ptCount val="54"/>
                <c:pt idx="0">
                  <c:v>0.622</c:v>
                </c:pt>
                <c:pt idx="1">
                  <c:v>0.627</c:v>
                </c:pt>
                <c:pt idx="2">
                  <c:v>0.621</c:v>
                </c:pt>
                <c:pt idx="3">
                  <c:v>0.622</c:v>
                </c:pt>
                <c:pt idx="4">
                  <c:v>0.61199999999999999</c:v>
                </c:pt>
                <c:pt idx="5">
                  <c:v>0.60699999999999998</c:v>
                </c:pt>
                <c:pt idx="6">
                  <c:v>0.60299999999999998</c:v>
                </c:pt>
                <c:pt idx="7">
                  <c:v>0.59699999999999998</c:v>
                </c:pt>
                <c:pt idx="8">
                  <c:v>0.59499999999999997</c:v>
                </c:pt>
                <c:pt idx="9">
                  <c:v>0.59299999999999997</c:v>
                </c:pt>
                <c:pt idx="10">
                  <c:v>0.59099999999999997</c:v>
                </c:pt>
                <c:pt idx="11">
                  <c:v>0.57899999999999996</c:v>
                </c:pt>
                <c:pt idx="12">
                  <c:v>0.58199999999999996</c:v>
                </c:pt>
                <c:pt idx="13">
                  <c:v>0.57899999999999996</c:v>
                </c:pt>
                <c:pt idx="14">
                  <c:v>0.57899999999999996</c:v>
                </c:pt>
                <c:pt idx="15">
                  <c:v>0.57199999999999995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0.57199999999999995</c:v>
                </c:pt>
                <c:pt idx="19">
                  <c:v>0.56999999999999995</c:v>
                </c:pt>
                <c:pt idx="20">
                  <c:v>0.56899999999999995</c:v>
                </c:pt>
                <c:pt idx="21">
                  <c:v>0.55800000000000005</c:v>
                </c:pt>
                <c:pt idx="22">
                  <c:v>0.55700000000000005</c:v>
                </c:pt>
                <c:pt idx="23">
                  <c:v>0.55200000000000005</c:v>
                </c:pt>
                <c:pt idx="24">
                  <c:v>0.55400000000000005</c:v>
                </c:pt>
                <c:pt idx="25">
                  <c:v>0.55300000000000005</c:v>
                </c:pt>
                <c:pt idx="26">
                  <c:v>0.54100000000000004</c:v>
                </c:pt>
                <c:pt idx="27">
                  <c:v>0.53600000000000003</c:v>
                </c:pt>
                <c:pt idx="28">
                  <c:v>0.53200000000000003</c:v>
                </c:pt>
                <c:pt idx="29">
                  <c:v>0.53500000000000003</c:v>
                </c:pt>
                <c:pt idx="30">
                  <c:v>0.53300000000000003</c:v>
                </c:pt>
                <c:pt idx="31">
                  <c:v>0.53400000000000003</c:v>
                </c:pt>
                <c:pt idx="32">
                  <c:v>0.53600000000000003</c:v>
                </c:pt>
                <c:pt idx="33">
                  <c:v>0.53500000000000003</c:v>
                </c:pt>
                <c:pt idx="34">
                  <c:v>0.53500000000000003</c:v>
                </c:pt>
                <c:pt idx="35">
                  <c:v>0.52500000000000002</c:v>
                </c:pt>
                <c:pt idx="36">
                  <c:v>0.52400000000000002</c:v>
                </c:pt>
                <c:pt idx="37">
                  <c:v>0.52800000000000002</c:v>
                </c:pt>
                <c:pt idx="38">
                  <c:v>0.51700000000000002</c:v>
                </c:pt>
                <c:pt idx="39">
                  <c:v>0.52300000000000002</c:v>
                </c:pt>
                <c:pt idx="40">
                  <c:v>0.48399999999999999</c:v>
                </c:pt>
                <c:pt idx="41">
                  <c:v>0.49</c:v>
                </c:pt>
                <c:pt idx="42">
                  <c:v>0.48899999999999999</c:v>
                </c:pt>
                <c:pt idx="43">
                  <c:v>0.499</c:v>
                </c:pt>
                <c:pt idx="44">
                  <c:v>0.51100000000000001</c:v>
                </c:pt>
                <c:pt idx="45">
                  <c:v>0.51300000000000001</c:v>
                </c:pt>
                <c:pt idx="46">
                  <c:v>0.51900000000000002</c:v>
                </c:pt>
                <c:pt idx="47">
                  <c:v>0.53200000000000003</c:v>
                </c:pt>
                <c:pt idx="48">
                  <c:v>0.53700000000000003</c:v>
                </c:pt>
                <c:pt idx="49">
                  <c:v>0.54200000000000004</c:v>
                </c:pt>
                <c:pt idx="50">
                  <c:v>0.55100000000000005</c:v>
                </c:pt>
                <c:pt idx="51">
                  <c:v>0.55399999999999994</c:v>
                </c:pt>
                <c:pt idx="52">
                  <c:v>0.56200000000000006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10-4A85-BD18-E00485A44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Humedad relativa del túnel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Temperatura en el túnel con</a:t>
            </a:r>
            <a:r>
              <a:rPr lang="es-MX" b="1" baseline="0"/>
              <a:t> el tiempo.</a:t>
            </a:r>
            <a:endParaRPr lang="es-MX" b="1"/>
          </a:p>
        </c:rich>
      </c:tx>
      <c:layout>
        <c:manualLayout>
          <c:xMode val="edge"/>
          <c:yMode val="edge"/>
          <c:x val="0.12364840861560029"/>
          <c:y val="2.7381093478518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Entrada</c:v>
          </c:tx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'Gráficos EQ5'!$B$8:$B$61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'Gráficos EQ5'!$F$8:$F$61</c:f>
              <c:numCache>
                <c:formatCode>General</c:formatCode>
                <c:ptCount val="54"/>
                <c:pt idx="0">
                  <c:v>25.9</c:v>
                </c:pt>
                <c:pt idx="1">
                  <c:v>21.22</c:v>
                </c:pt>
                <c:pt idx="2">
                  <c:v>20.8</c:v>
                </c:pt>
                <c:pt idx="3">
                  <c:v>20.8</c:v>
                </c:pt>
                <c:pt idx="4">
                  <c:v>21.1</c:v>
                </c:pt>
                <c:pt idx="5">
                  <c:v>21.4</c:v>
                </c:pt>
                <c:pt idx="6">
                  <c:v>21.8</c:v>
                </c:pt>
                <c:pt idx="7">
                  <c:v>22.1</c:v>
                </c:pt>
                <c:pt idx="8">
                  <c:v>22.3</c:v>
                </c:pt>
                <c:pt idx="9">
                  <c:v>22.6</c:v>
                </c:pt>
                <c:pt idx="10">
                  <c:v>22.7</c:v>
                </c:pt>
                <c:pt idx="11">
                  <c:v>22.7</c:v>
                </c:pt>
                <c:pt idx="12">
                  <c:v>23</c:v>
                </c:pt>
                <c:pt idx="13">
                  <c:v>23.1</c:v>
                </c:pt>
                <c:pt idx="14">
                  <c:v>23.2</c:v>
                </c:pt>
                <c:pt idx="15">
                  <c:v>23.3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>
                  <c:v>23.7</c:v>
                </c:pt>
                <c:pt idx="20">
                  <c:v>24</c:v>
                </c:pt>
                <c:pt idx="21">
                  <c:v>24</c:v>
                </c:pt>
                <c:pt idx="22">
                  <c:v>24.1</c:v>
                </c:pt>
                <c:pt idx="23">
                  <c:v>24.1</c:v>
                </c:pt>
                <c:pt idx="24">
                  <c:v>24.3</c:v>
                </c:pt>
                <c:pt idx="25">
                  <c:v>24.2</c:v>
                </c:pt>
                <c:pt idx="26">
                  <c:v>24.2</c:v>
                </c:pt>
                <c:pt idx="27">
                  <c:v>24.5</c:v>
                </c:pt>
                <c:pt idx="28">
                  <c:v>24.6</c:v>
                </c:pt>
                <c:pt idx="29">
                  <c:v>24.6</c:v>
                </c:pt>
                <c:pt idx="30">
                  <c:v>24.8</c:v>
                </c:pt>
                <c:pt idx="31">
                  <c:v>24.7</c:v>
                </c:pt>
                <c:pt idx="32">
                  <c:v>24.8</c:v>
                </c:pt>
                <c:pt idx="33">
                  <c:v>24.8</c:v>
                </c:pt>
                <c:pt idx="34">
                  <c:v>24.9</c:v>
                </c:pt>
                <c:pt idx="35">
                  <c:v>24.9</c:v>
                </c:pt>
                <c:pt idx="36">
                  <c:v>25</c:v>
                </c:pt>
                <c:pt idx="37">
                  <c:v>24.9</c:v>
                </c:pt>
                <c:pt idx="38">
                  <c:v>24.8</c:v>
                </c:pt>
                <c:pt idx="39">
                  <c:v>24.9</c:v>
                </c:pt>
                <c:pt idx="40">
                  <c:v>24.9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24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D0-49B7-9420-350F47D5D8C4}"/>
            </c:ext>
          </c:extLst>
        </c:ser>
        <c:ser>
          <c:idx val="1"/>
          <c:order val="1"/>
          <c:tx>
            <c:v>Salida</c:v>
          </c:tx>
          <c:spPr>
            <a:ln w="19050" cap="rnd">
              <a:solidFill>
                <a:srgbClr val="CC3C8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CC3C81"/>
              </a:solidFill>
              <a:ln w="9525">
                <a:noFill/>
              </a:ln>
              <a:effectLst/>
            </c:spPr>
          </c:marker>
          <c:xVal>
            <c:numRef>
              <c:f>'Gráficos EQ5'!$B$8:$B$61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'Gráficos EQ5'!$H$8:$H$61</c:f>
              <c:numCache>
                <c:formatCode>General</c:formatCode>
                <c:ptCount val="54"/>
                <c:pt idx="0">
                  <c:v>20.3</c:v>
                </c:pt>
                <c:pt idx="1">
                  <c:v>19.8</c:v>
                </c:pt>
                <c:pt idx="2">
                  <c:v>19.399999999999999</c:v>
                </c:pt>
                <c:pt idx="3">
                  <c:v>19.2</c:v>
                </c:pt>
                <c:pt idx="4">
                  <c:v>20.100000000000001</c:v>
                </c:pt>
                <c:pt idx="5">
                  <c:v>20.399999999999999</c:v>
                </c:pt>
                <c:pt idx="6">
                  <c:v>20.7</c:v>
                </c:pt>
                <c:pt idx="7">
                  <c:v>20.9</c:v>
                </c:pt>
                <c:pt idx="8">
                  <c:v>21.2</c:v>
                </c:pt>
                <c:pt idx="9">
                  <c:v>21.3</c:v>
                </c:pt>
                <c:pt idx="10">
                  <c:v>21.5</c:v>
                </c:pt>
                <c:pt idx="11">
                  <c:v>21.6</c:v>
                </c:pt>
                <c:pt idx="12">
                  <c:v>21.7</c:v>
                </c:pt>
                <c:pt idx="13">
                  <c:v>21.9</c:v>
                </c:pt>
                <c:pt idx="14">
                  <c:v>22</c:v>
                </c:pt>
                <c:pt idx="15">
                  <c:v>22.1</c:v>
                </c:pt>
                <c:pt idx="16">
                  <c:v>22.2</c:v>
                </c:pt>
                <c:pt idx="17">
                  <c:v>22.2</c:v>
                </c:pt>
                <c:pt idx="18">
                  <c:v>22.5</c:v>
                </c:pt>
                <c:pt idx="19">
                  <c:v>22.5</c:v>
                </c:pt>
                <c:pt idx="20">
                  <c:v>22.6</c:v>
                </c:pt>
                <c:pt idx="21">
                  <c:v>22.6</c:v>
                </c:pt>
                <c:pt idx="22">
                  <c:v>22.7</c:v>
                </c:pt>
                <c:pt idx="23">
                  <c:v>22.8</c:v>
                </c:pt>
                <c:pt idx="24">
                  <c:v>22.9</c:v>
                </c:pt>
                <c:pt idx="25">
                  <c:v>22.8</c:v>
                </c:pt>
                <c:pt idx="26">
                  <c:v>22.9</c:v>
                </c:pt>
                <c:pt idx="27">
                  <c:v>23.1</c:v>
                </c:pt>
                <c:pt idx="28">
                  <c:v>23.1</c:v>
                </c:pt>
                <c:pt idx="29">
                  <c:v>23.3</c:v>
                </c:pt>
                <c:pt idx="30">
                  <c:v>23.3</c:v>
                </c:pt>
                <c:pt idx="31">
                  <c:v>23.3</c:v>
                </c:pt>
                <c:pt idx="32">
                  <c:v>23.4</c:v>
                </c:pt>
                <c:pt idx="33">
                  <c:v>23.3</c:v>
                </c:pt>
                <c:pt idx="34">
                  <c:v>23.5</c:v>
                </c:pt>
                <c:pt idx="35">
                  <c:v>23.5</c:v>
                </c:pt>
                <c:pt idx="36">
                  <c:v>23.6</c:v>
                </c:pt>
                <c:pt idx="37">
                  <c:v>23.5</c:v>
                </c:pt>
                <c:pt idx="38">
                  <c:v>23.5</c:v>
                </c:pt>
                <c:pt idx="39">
                  <c:v>23.8</c:v>
                </c:pt>
                <c:pt idx="40">
                  <c:v>23.4</c:v>
                </c:pt>
                <c:pt idx="41">
                  <c:v>24.7</c:v>
                </c:pt>
                <c:pt idx="42">
                  <c:v>24.6</c:v>
                </c:pt>
                <c:pt idx="43">
                  <c:v>24.6</c:v>
                </c:pt>
                <c:pt idx="44">
                  <c:v>24.4</c:v>
                </c:pt>
                <c:pt idx="45">
                  <c:v>24.3</c:v>
                </c:pt>
                <c:pt idx="46">
                  <c:v>24.1</c:v>
                </c:pt>
                <c:pt idx="47">
                  <c:v>24.1</c:v>
                </c:pt>
                <c:pt idx="48">
                  <c:v>23.9</c:v>
                </c:pt>
                <c:pt idx="49">
                  <c:v>23.8</c:v>
                </c:pt>
                <c:pt idx="50">
                  <c:v>23.8</c:v>
                </c:pt>
                <c:pt idx="51">
                  <c:v>23.6</c:v>
                </c:pt>
                <c:pt idx="52">
                  <c:v>23.5</c:v>
                </c:pt>
                <c:pt idx="53">
                  <c:v>23.4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D0-49B7-9420-350F47D5D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2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Temperatura en el túnel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23967845005013"/>
          <c:y val="0.61515632829789146"/>
          <c:w val="0.17221153517861393"/>
          <c:h val="0.1586549779466960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Humedad en el túnel con el tiempo.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Entrada</c:v>
          </c:tx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'Gráficos EQ5'!$B$8:$B$61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'Gráficos EQ5'!$G$8:$G$61</c:f>
              <c:numCache>
                <c:formatCode>0.00%</c:formatCode>
                <c:ptCount val="54"/>
                <c:pt idx="0">
                  <c:v>0.45</c:v>
                </c:pt>
                <c:pt idx="1">
                  <c:v>0.56399999999999995</c:v>
                </c:pt>
                <c:pt idx="2">
                  <c:v>0.57899999999999996</c:v>
                </c:pt>
                <c:pt idx="3">
                  <c:v>0.58299999999999996</c:v>
                </c:pt>
                <c:pt idx="4">
                  <c:v>0.57999999999999996</c:v>
                </c:pt>
                <c:pt idx="5">
                  <c:v>0.57399999999999995</c:v>
                </c:pt>
                <c:pt idx="6">
                  <c:v>0.56699999999999995</c:v>
                </c:pt>
                <c:pt idx="7">
                  <c:v>0.56200000000000006</c:v>
                </c:pt>
                <c:pt idx="8">
                  <c:v>0.55900000000000005</c:v>
                </c:pt>
                <c:pt idx="9">
                  <c:v>0.55900000000000005</c:v>
                </c:pt>
                <c:pt idx="10">
                  <c:v>0.55400000000000005</c:v>
                </c:pt>
                <c:pt idx="11">
                  <c:v>0.55400000000000005</c:v>
                </c:pt>
                <c:pt idx="12">
                  <c:v>0.54300000000000004</c:v>
                </c:pt>
                <c:pt idx="13">
                  <c:v>0.54200000000000004</c:v>
                </c:pt>
                <c:pt idx="14">
                  <c:v>0.54100000000000004</c:v>
                </c:pt>
                <c:pt idx="15">
                  <c:v>0.54400000000000004</c:v>
                </c:pt>
                <c:pt idx="16">
                  <c:v>0.54</c:v>
                </c:pt>
                <c:pt idx="17">
                  <c:v>0.53200000000000003</c:v>
                </c:pt>
                <c:pt idx="18">
                  <c:v>0.53500000000000003</c:v>
                </c:pt>
                <c:pt idx="19">
                  <c:v>0.53800000000000003</c:v>
                </c:pt>
                <c:pt idx="20">
                  <c:v>0.53100000000000003</c:v>
                </c:pt>
                <c:pt idx="21">
                  <c:v>0.53400000000000003</c:v>
                </c:pt>
                <c:pt idx="22">
                  <c:v>0.52300000000000002</c:v>
                </c:pt>
                <c:pt idx="23">
                  <c:v>0.52300000000000002</c:v>
                </c:pt>
                <c:pt idx="24">
                  <c:v>0.51800000000000002</c:v>
                </c:pt>
                <c:pt idx="25">
                  <c:v>0.51900000000000002</c:v>
                </c:pt>
                <c:pt idx="26">
                  <c:v>0.52</c:v>
                </c:pt>
                <c:pt idx="27">
                  <c:v>0.50800000000000001</c:v>
                </c:pt>
                <c:pt idx="28">
                  <c:v>0.5</c:v>
                </c:pt>
                <c:pt idx="29">
                  <c:v>0.502</c:v>
                </c:pt>
                <c:pt idx="30">
                  <c:v>0.501</c:v>
                </c:pt>
                <c:pt idx="31">
                  <c:v>0.503</c:v>
                </c:pt>
                <c:pt idx="32">
                  <c:v>0.5</c:v>
                </c:pt>
                <c:pt idx="33">
                  <c:v>0.504</c:v>
                </c:pt>
                <c:pt idx="34">
                  <c:v>0.505</c:v>
                </c:pt>
                <c:pt idx="35">
                  <c:v>0.50600000000000001</c:v>
                </c:pt>
                <c:pt idx="36">
                  <c:v>0.49399999999999999</c:v>
                </c:pt>
                <c:pt idx="37">
                  <c:v>0.49399999999999999</c:v>
                </c:pt>
                <c:pt idx="38">
                  <c:v>0.497</c:v>
                </c:pt>
                <c:pt idx="39">
                  <c:v>0.48799999999999999</c:v>
                </c:pt>
                <c:pt idx="40">
                  <c:v>0.48799999999999999</c:v>
                </c:pt>
                <c:pt idx="41">
                  <c:v>0.48599999999999999</c:v>
                </c:pt>
                <c:pt idx="42">
                  <c:v>0.48799999999999999</c:v>
                </c:pt>
                <c:pt idx="43">
                  <c:v>0.48599999999999999</c:v>
                </c:pt>
                <c:pt idx="44">
                  <c:v>0.497</c:v>
                </c:pt>
                <c:pt idx="45">
                  <c:v>0.505</c:v>
                </c:pt>
                <c:pt idx="46">
                  <c:v>0.51200000000000001</c:v>
                </c:pt>
                <c:pt idx="47">
                  <c:v>0.51700000000000002</c:v>
                </c:pt>
                <c:pt idx="48">
                  <c:v>0.52900000000000003</c:v>
                </c:pt>
                <c:pt idx="49">
                  <c:v>0.53600000000000003</c:v>
                </c:pt>
                <c:pt idx="50">
                  <c:v>0.54</c:v>
                </c:pt>
                <c:pt idx="51">
                  <c:v>0.54700000000000004</c:v>
                </c:pt>
                <c:pt idx="52">
                  <c:v>0.55299999999999994</c:v>
                </c:pt>
                <c:pt idx="53">
                  <c:v>0.56000000000000005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2A-4436-8439-42CC89534AED}"/>
            </c:ext>
          </c:extLst>
        </c:ser>
        <c:ser>
          <c:idx val="1"/>
          <c:order val="1"/>
          <c:tx>
            <c:v>Salida</c:v>
          </c:tx>
          <c:spPr>
            <a:ln w="19050" cap="rnd">
              <a:solidFill>
                <a:srgbClr val="CC3C8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CC3C81"/>
              </a:solidFill>
              <a:ln w="9525">
                <a:noFill/>
              </a:ln>
              <a:effectLst/>
            </c:spPr>
          </c:marker>
          <c:xVal>
            <c:numRef>
              <c:f>Original!$A$8:$A$61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Original!$H$8:$H$61</c:f>
              <c:numCache>
                <c:formatCode>0.00%</c:formatCode>
                <c:ptCount val="54"/>
                <c:pt idx="0">
                  <c:v>0.60199999999999998</c:v>
                </c:pt>
                <c:pt idx="1">
                  <c:v>0.622</c:v>
                </c:pt>
                <c:pt idx="2">
                  <c:v>0.627</c:v>
                </c:pt>
                <c:pt idx="3">
                  <c:v>0.621</c:v>
                </c:pt>
                <c:pt idx="4">
                  <c:v>0.622</c:v>
                </c:pt>
                <c:pt idx="5">
                  <c:v>0.61199999999999999</c:v>
                </c:pt>
                <c:pt idx="6">
                  <c:v>0.60699999999999998</c:v>
                </c:pt>
                <c:pt idx="7">
                  <c:v>0.60299999999999998</c:v>
                </c:pt>
                <c:pt idx="8">
                  <c:v>0.59699999999999998</c:v>
                </c:pt>
                <c:pt idx="9">
                  <c:v>0.59499999999999997</c:v>
                </c:pt>
                <c:pt idx="10">
                  <c:v>0.59299999999999997</c:v>
                </c:pt>
                <c:pt idx="11">
                  <c:v>0.59099999999999997</c:v>
                </c:pt>
                <c:pt idx="12">
                  <c:v>0.57899999999999996</c:v>
                </c:pt>
                <c:pt idx="13">
                  <c:v>0.58199999999999996</c:v>
                </c:pt>
                <c:pt idx="14">
                  <c:v>0.57899999999999996</c:v>
                </c:pt>
                <c:pt idx="15">
                  <c:v>0.57899999999999996</c:v>
                </c:pt>
                <c:pt idx="16">
                  <c:v>0.57199999999999995</c:v>
                </c:pt>
                <c:pt idx="17">
                  <c:v>0.56999999999999995</c:v>
                </c:pt>
                <c:pt idx="18">
                  <c:v>0.56999999999999995</c:v>
                </c:pt>
                <c:pt idx="19">
                  <c:v>0.57199999999999995</c:v>
                </c:pt>
                <c:pt idx="20">
                  <c:v>0.56999999999999995</c:v>
                </c:pt>
                <c:pt idx="21">
                  <c:v>0.56899999999999995</c:v>
                </c:pt>
                <c:pt idx="22">
                  <c:v>0.55800000000000005</c:v>
                </c:pt>
                <c:pt idx="23">
                  <c:v>0.55700000000000005</c:v>
                </c:pt>
                <c:pt idx="24">
                  <c:v>0.55200000000000005</c:v>
                </c:pt>
                <c:pt idx="25">
                  <c:v>0.55400000000000005</c:v>
                </c:pt>
                <c:pt idx="26">
                  <c:v>0.55300000000000005</c:v>
                </c:pt>
                <c:pt idx="27">
                  <c:v>0.54100000000000004</c:v>
                </c:pt>
                <c:pt idx="28">
                  <c:v>0.53600000000000003</c:v>
                </c:pt>
                <c:pt idx="29">
                  <c:v>0.53200000000000003</c:v>
                </c:pt>
                <c:pt idx="30">
                  <c:v>0.53500000000000003</c:v>
                </c:pt>
                <c:pt idx="31">
                  <c:v>0.53300000000000003</c:v>
                </c:pt>
                <c:pt idx="32">
                  <c:v>0.53400000000000003</c:v>
                </c:pt>
                <c:pt idx="33">
                  <c:v>0.53600000000000003</c:v>
                </c:pt>
                <c:pt idx="34">
                  <c:v>0.53500000000000003</c:v>
                </c:pt>
                <c:pt idx="35">
                  <c:v>0.53500000000000003</c:v>
                </c:pt>
                <c:pt idx="36">
                  <c:v>0.52500000000000002</c:v>
                </c:pt>
                <c:pt idx="37">
                  <c:v>0.52400000000000002</c:v>
                </c:pt>
                <c:pt idx="38">
                  <c:v>0.52800000000000002</c:v>
                </c:pt>
                <c:pt idx="39">
                  <c:v>0.51700000000000002</c:v>
                </c:pt>
                <c:pt idx="40">
                  <c:v>0.52300000000000002</c:v>
                </c:pt>
                <c:pt idx="41">
                  <c:v>0.48399999999999999</c:v>
                </c:pt>
                <c:pt idx="42">
                  <c:v>0.49</c:v>
                </c:pt>
                <c:pt idx="43">
                  <c:v>0.48899999999999999</c:v>
                </c:pt>
                <c:pt idx="44">
                  <c:v>0.499</c:v>
                </c:pt>
                <c:pt idx="45">
                  <c:v>0.51100000000000001</c:v>
                </c:pt>
                <c:pt idx="46">
                  <c:v>0.51300000000000001</c:v>
                </c:pt>
                <c:pt idx="47">
                  <c:v>0.51900000000000002</c:v>
                </c:pt>
                <c:pt idx="48">
                  <c:v>0.53200000000000003</c:v>
                </c:pt>
                <c:pt idx="49">
                  <c:v>0.53700000000000003</c:v>
                </c:pt>
                <c:pt idx="50">
                  <c:v>0.54200000000000004</c:v>
                </c:pt>
                <c:pt idx="51">
                  <c:v>0.55100000000000005</c:v>
                </c:pt>
                <c:pt idx="52">
                  <c:v>0.55399999999999994</c:v>
                </c:pt>
                <c:pt idx="53">
                  <c:v>0.56200000000000006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2A-4436-8439-42CC89534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0.6500000000000001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Humedad relativa del túnel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24563978877891"/>
          <c:y val="0.62430665556619092"/>
          <c:w val="0.17201651742771756"/>
          <c:h val="0.1586549779466960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sz="1200" b="1"/>
              <a:t>Comportamiento de la humedad libre en el sistema respecto al tiempo de operación.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'EQ5'!$B$25:$B$78</c:f>
              <c:numCache>
                <c:formatCode>General</c:formatCode>
                <c:ptCount val="5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</c:numCache>
            </c:numRef>
          </c:xVal>
          <c:yVal>
            <c:numRef>
              <c:f>'EQ5'!$K$25:$K$78</c:f>
              <c:numCache>
                <c:formatCode>0.0000</c:formatCode>
                <c:ptCount val="54"/>
                <c:pt idx="0">
                  <c:v>0.37791817411293316</c:v>
                </c:pt>
                <c:pt idx="1">
                  <c:v>0.35377506196304043</c:v>
                </c:pt>
                <c:pt idx="2">
                  <c:v>0.34761086311625933</c:v>
                </c:pt>
                <c:pt idx="3">
                  <c:v>0.34170350588809395</c:v>
                </c:pt>
                <c:pt idx="4">
                  <c:v>0.33065931628761114</c:v>
                </c:pt>
                <c:pt idx="5">
                  <c:v>0.32179828044536318</c:v>
                </c:pt>
                <c:pt idx="6">
                  <c:v>0.30882777870526135</c:v>
                </c:pt>
                <c:pt idx="7">
                  <c:v>0.30009516367232147</c:v>
                </c:pt>
                <c:pt idx="8">
                  <c:v>0.29059202378353377</c:v>
                </c:pt>
                <c:pt idx="9">
                  <c:v>0.27941941337374288</c:v>
                </c:pt>
                <c:pt idx="10">
                  <c:v>0.26773311972672043</c:v>
                </c:pt>
                <c:pt idx="11">
                  <c:v>0.25912892550308841</c:v>
                </c:pt>
                <c:pt idx="12">
                  <c:v>0.24988262723291668</c:v>
                </c:pt>
                <c:pt idx="13">
                  <c:v>0.24012264572551331</c:v>
                </c:pt>
                <c:pt idx="14">
                  <c:v>0.23151845150188125</c:v>
                </c:pt>
                <c:pt idx="15">
                  <c:v>0.22291425727824918</c:v>
                </c:pt>
                <c:pt idx="16">
                  <c:v>0.21341111738946181</c:v>
                </c:pt>
                <c:pt idx="17">
                  <c:v>0.20724691854268043</c:v>
                </c:pt>
                <c:pt idx="18">
                  <c:v>0.19556062489565798</c:v>
                </c:pt>
                <c:pt idx="19">
                  <c:v>0.18862590119302911</c:v>
                </c:pt>
                <c:pt idx="20">
                  <c:v>0.18079223182524487</c:v>
                </c:pt>
                <c:pt idx="21">
                  <c:v>0.17244487922022875</c:v>
                </c:pt>
                <c:pt idx="22">
                  <c:v>0.16384068499659668</c:v>
                </c:pt>
                <c:pt idx="23">
                  <c:v>0.15703438210327589</c:v>
                </c:pt>
                <c:pt idx="24">
                  <c:v>0.14804492545172007</c:v>
                </c:pt>
                <c:pt idx="25">
                  <c:v>0.14290809307940247</c:v>
                </c:pt>
                <c:pt idx="26">
                  <c:v>0.13648705261400548</c:v>
                </c:pt>
                <c:pt idx="27">
                  <c:v>0.13006601214860844</c:v>
                </c:pt>
                <c:pt idx="28">
                  <c:v>0.12236076359013207</c:v>
                </c:pt>
                <c:pt idx="29">
                  <c:v>0.11722393121781446</c:v>
                </c:pt>
                <c:pt idx="30">
                  <c:v>0.10823447456625862</c:v>
                </c:pt>
                <c:pt idx="31">
                  <c:v>0.10438185028702041</c:v>
                </c:pt>
                <c:pt idx="32">
                  <c:v>9.6676601728544004E-2</c:v>
                </c:pt>
                <c:pt idx="33">
                  <c:v>9.1539769356226375E-2</c:v>
                </c:pt>
                <c:pt idx="34">
                  <c:v>8.5118728890829387E-2</c:v>
                </c:pt>
                <c:pt idx="35">
                  <c:v>7.8697688425432372E-2</c:v>
                </c:pt>
                <c:pt idx="36">
                  <c:v>7.3560856053114743E-2</c:v>
                </c:pt>
                <c:pt idx="37">
                  <c:v>6.9708231773876556E-2</c:v>
                </c:pt>
                <c:pt idx="38">
                  <c:v>6.3158770499171568E-2</c:v>
                </c:pt>
                <c:pt idx="39">
                  <c:v>5.7379834080314246E-2</c:v>
                </c:pt>
                <c:pt idx="40">
                  <c:v>5.7379834080314246E-2</c:v>
                </c:pt>
                <c:pt idx="41">
                  <c:v>4.6078802861215573E-2</c:v>
                </c:pt>
                <c:pt idx="42">
                  <c:v>4.4666173958828187E-2</c:v>
                </c:pt>
                <c:pt idx="43">
                  <c:v>3.8887237539970892E-2</c:v>
                </c:pt>
                <c:pt idx="44">
                  <c:v>3.3878825976961235E-2</c:v>
                </c:pt>
                <c:pt idx="45">
                  <c:v>2.8613572795335662E-2</c:v>
                </c:pt>
                <c:pt idx="46">
                  <c:v>2.6430419037100611E-2</c:v>
                </c:pt>
                <c:pt idx="47">
                  <c:v>2.2834636376478368E-2</c:v>
                </c:pt>
                <c:pt idx="48">
                  <c:v>1.9624116143779846E-2</c:v>
                </c:pt>
                <c:pt idx="49">
                  <c:v>1.5771491864541631E-2</c:v>
                </c:pt>
                <c:pt idx="50">
                  <c:v>1.1918867585303444E-2</c:v>
                </c:pt>
                <c:pt idx="51">
                  <c:v>6.7820352129858152E-3</c:v>
                </c:pt>
                <c:pt idx="52">
                  <c:v>4.2136190268270146E-3</c:v>
                </c:pt>
                <c:pt idx="53">
                  <c:v>2.9294109337476282E-3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81-48A4-BC0F-058DF212E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 sz="900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 sz="900"/>
                  <a:t>Humedad libre (x) (kg H2O/kg Pan)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sz="1200" b="1"/>
              <a:t>Velocidad de secado</a:t>
            </a:r>
            <a:r>
              <a:rPr lang="es-MX" sz="1200" b="1" baseline="0"/>
              <a:t> suavizada.</a:t>
            </a:r>
            <a:endParaRPr lang="es-MX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1D45"/>
              </a:solidFill>
              <a:ln w="9525">
                <a:noFill/>
              </a:ln>
              <a:effectLst/>
            </c:spPr>
          </c:marker>
          <c:xVal>
            <c:numRef>
              <c:f>'EQ5'!$B$28:$B$78</c:f>
              <c:numCache>
                <c:formatCode>General</c:formatCode>
                <c:ptCount val="51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</c:numCache>
            </c:numRef>
          </c:xVal>
          <c:yVal>
            <c:numRef>
              <c:f>'EQ5'!$N$28:$N$78</c:f>
              <c:numCache>
                <c:formatCode>0.0000</c:formatCode>
                <c:ptCount val="51"/>
                <c:pt idx="0">
                  <c:v>1.1414516319076249</c:v>
                </c:pt>
                <c:pt idx="1">
                  <c:v>1.2519146930599709</c:v>
                </c:pt>
                <c:pt idx="2">
                  <c:v>1.2445504889831394</c:v>
                </c:pt>
                <c:pt idx="3">
                  <c:v>1.0457169789089229</c:v>
                </c:pt>
                <c:pt idx="4">
                  <c:v>1.1856368563685762</c:v>
                </c:pt>
                <c:pt idx="5">
                  <c:v>1.3108283256745599</c:v>
                </c:pt>
                <c:pt idx="6">
                  <c:v>1.1635442441380879</c:v>
                </c:pt>
                <c:pt idx="7">
                  <c:v>1.0236243666784521</c:v>
                </c:pt>
                <c:pt idx="8">
                  <c:v>1.0899022033698564</c:v>
                </c:pt>
                <c:pt idx="9">
                  <c:v>1.0530811829857418</c:v>
                </c:pt>
                <c:pt idx="10">
                  <c:v>0.98680334629434041</c:v>
                </c:pt>
                <c:pt idx="11">
                  <c:v>1.038352774832088</c:v>
                </c:pt>
                <c:pt idx="12">
                  <c:v>0.89843289737245402</c:v>
                </c:pt>
                <c:pt idx="13">
                  <c:v>1.0236243666784568</c:v>
                </c:pt>
                <c:pt idx="14">
                  <c:v>1.067809591139389</c:v>
                </c:pt>
                <c:pt idx="15">
                  <c:v>0.84688346883468713</c:v>
                </c:pt>
                <c:pt idx="16">
                  <c:v>0.92788971367973883</c:v>
                </c:pt>
                <c:pt idx="17">
                  <c:v>0.97207493814069013</c:v>
                </c:pt>
                <c:pt idx="18">
                  <c:v>0.88370448921880684</c:v>
                </c:pt>
                <c:pt idx="19">
                  <c:v>0.90579710144927295</c:v>
                </c:pt>
                <c:pt idx="20">
                  <c:v>0.81006244845057085</c:v>
                </c:pt>
                <c:pt idx="21">
                  <c:v>0.66277836691410186</c:v>
                </c:pt>
                <c:pt idx="22">
                  <c:v>0.73642040768233796</c:v>
                </c:pt>
                <c:pt idx="23">
                  <c:v>0.81006244845057074</c:v>
                </c:pt>
                <c:pt idx="24">
                  <c:v>0.73642040768233485</c:v>
                </c:pt>
                <c:pt idx="25">
                  <c:v>0.8100624484505724</c:v>
                </c:pt>
                <c:pt idx="26">
                  <c:v>0.73642040768233952</c:v>
                </c:pt>
                <c:pt idx="27">
                  <c:v>0.66277836691410363</c:v>
                </c:pt>
                <c:pt idx="28">
                  <c:v>0.73642040768233796</c:v>
                </c:pt>
                <c:pt idx="29">
                  <c:v>0.66277836691410352</c:v>
                </c:pt>
                <c:pt idx="30">
                  <c:v>0.73642040768233641</c:v>
                </c:pt>
                <c:pt idx="31">
                  <c:v>0.66277836691410519</c:v>
                </c:pt>
                <c:pt idx="32">
                  <c:v>0.51549428537763631</c:v>
                </c:pt>
                <c:pt idx="33">
                  <c:v>0.59650053022269434</c:v>
                </c:pt>
                <c:pt idx="34">
                  <c:v>0.70696359137504672</c:v>
                </c:pt>
                <c:pt idx="35">
                  <c:v>0.33138918345705254</c:v>
                </c:pt>
                <c:pt idx="36">
                  <c:v>0.64804995876045313</c:v>
                </c:pt>
                <c:pt idx="37">
                  <c:v>0.72905620360551271</c:v>
                </c:pt>
                <c:pt idx="38">
                  <c:v>0.41239542830211062</c:v>
                </c:pt>
                <c:pt idx="39">
                  <c:v>0.61859314245316188</c:v>
                </c:pt>
                <c:pt idx="40">
                  <c:v>0.58913632614587064</c:v>
                </c:pt>
                <c:pt idx="41">
                  <c:v>0.42712383645576102</c:v>
                </c:pt>
                <c:pt idx="42">
                  <c:v>0.33138918345705098</c:v>
                </c:pt>
                <c:pt idx="43">
                  <c:v>0.39030281607163497</c:v>
                </c:pt>
                <c:pt idx="44">
                  <c:v>0.40503122422528698</c:v>
                </c:pt>
                <c:pt idx="45">
                  <c:v>0.44185224460940187</c:v>
                </c:pt>
                <c:pt idx="46">
                  <c:v>0.51549428537763631</c:v>
                </c:pt>
                <c:pt idx="47">
                  <c:v>0.44185224460940342</c:v>
                </c:pt>
                <c:pt idx="48">
                  <c:v>0.2209261223047001</c:v>
                </c:pt>
                <c:pt idx="49">
                  <c:v>7.0472510954600096E-2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2-4DC7-874E-8E02E7053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5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 sz="900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60"/>
      </c:valAx>
      <c:valAx>
        <c:axId val="161401222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 sz="900"/>
                  <a:t>Velocidad</a:t>
                </a:r>
                <a:r>
                  <a:rPr lang="es-MX" sz="900" baseline="0"/>
                  <a:t> de secado (kg/min*m</a:t>
                </a:r>
                <a:r>
                  <a:rPr lang="es-MX" sz="900" baseline="30000"/>
                  <a:t>2</a:t>
                </a:r>
                <a:r>
                  <a:rPr lang="es-MX" sz="900" baseline="0"/>
                  <a:t>)</a:t>
                </a:r>
                <a:endParaRPr lang="es-MX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sz="1200" b="1"/>
              <a:t>Velocidad de secado respecto a la humedad libre</a:t>
            </a:r>
            <a:r>
              <a:rPr lang="es-MX" sz="1200" b="1" baseline="0"/>
              <a:t>.</a:t>
            </a:r>
            <a:endParaRPr lang="es-MX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F1D4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/>
              </a:solidFill>
              <a:ln w="9525">
                <a:solidFill>
                  <a:srgbClr val="6F1D4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C3C8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973728022471719"/>
                  <c:y val="0.223320561137165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'EQ5'!$K$28:$K$78</c:f>
              <c:numCache>
                <c:formatCode>0.0000</c:formatCode>
                <c:ptCount val="51"/>
                <c:pt idx="0">
                  <c:v>0.34170350588809395</c:v>
                </c:pt>
                <c:pt idx="1">
                  <c:v>0.33065931628761114</c:v>
                </c:pt>
                <c:pt idx="2">
                  <c:v>0.32179828044536318</c:v>
                </c:pt>
                <c:pt idx="3">
                  <c:v>0.30882777870526135</c:v>
                </c:pt>
                <c:pt idx="4">
                  <c:v>0.30009516367232147</c:v>
                </c:pt>
                <c:pt idx="5">
                  <c:v>0.29059202378353377</c:v>
                </c:pt>
                <c:pt idx="6">
                  <c:v>0.27941941337374288</c:v>
                </c:pt>
                <c:pt idx="7">
                  <c:v>0.26773311972672043</c:v>
                </c:pt>
                <c:pt idx="8">
                  <c:v>0.25912892550308841</c:v>
                </c:pt>
                <c:pt idx="9">
                  <c:v>0.24988262723291668</c:v>
                </c:pt>
                <c:pt idx="10">
                  <c:v>0.24012264572551331</c:v>
                </c:pt>
                <c:pt idx="11">
                  <c:v>0.23151845150188125</c:v>
                </c:pt>
                <c:pt idx="12">
                  <c:v>0.22291425727824918</c:v>
                </c:pt>
                <c:pt idx="13">
                  <c:v>0.21341111738946181</c:v>
                </c:pt>
                <c:pt idx="14">
                  <c:v>0.20724691854268043</c:v>
                </c:pt>
                <c:pt idx="15">
                  <c:v>0.19556062489565798</c:v>
                </c:pt>
                <c:pt idx="16">
                  <c:v>0.18862590119302911</c:v>
                </c:pt>
                <c:pt idx="17">
                  <c:v>0.18079223182524487</c:v>
                </c:pt>
                <c:pt idx="18">
                  <c:v>0.17244487922022875</c:v>
                </c:pt>
                <c:pt idx="19">
                  <c:v>0.16384068499659668</c:v>
                </c:pt>
                <c:pt idx="20">
                  <c:v>0.15703438210327589</c:v>
                </c:pt>
                <c:pt idx="21">
                  <c:v>0.14804492545172007</c:v>
                </c:pt>
                <c:pt idx="22">
                  <c:v>0.14290809307940247</c:v>
                </c:pt>
                <c:pt idx="23">
                  <c:v>0.13648705261400548</c:v>
                </c:pt>
                <c:pt idx="24">
                  <c:v>0.13006601214860844</c:v>
                </c:pt>
                <c:pt idx="25">
                  <c:v>0.12236076359013207</c:v>
                </c:pt>
                <c:pt idx="26">
                  <c:v>0.11722393121781446</c:v>
                </c:pt>
                <c:pt idx="27">
                  <c:v>0.10823447456625862</c:v>
                </c:pt>
                <c:pt idx="28">
                  <c:v>0.10438185028702041</c:v>
                </c:pt>
                <c:pt idx="29">
                  <c:v>9.6676601728544004E-2</c:v>
                </c:pt>
                <c:pt idx="30">
                  <c:v>9.1539769356226375E-2</c:v>
                </c:pt>
                <c:pt idx="31">
                  <c:v>8.5118728890829387E-2</c:v>
                </c:pt>
                <c:pt idx="32">
                  <c:v>7.8697688425432372E-2</c:v>
                </c:pt>
                <c:pt idx="33">
                  <c:v>7.3560856053114743E-2</c:v>
                </c:pt>
                <c:pt idx="34">
                  <c:v>6.9708231773876556E-2</c:v>
                </c:pt>
                <c:pt idx="35">
                  <c:v>6.3158770499171568E-2</c:v>
                </c:pt>
                <c:pt idx="36">
                  <c:v>5.7379834080314246E-2</c:v>
                </c:pt>
                <c:pt idx="37">
                  <c:v>5.7379834080314246E-2</c:v>
                </c:pt>
                <c:pt idx="38">
                  <c:v>4.6078802861215573E-2</c:v>
                </c:pt>
                <c:pt idx="39">
                  <c:v>4.4666173958828187E-2</c:v>
                </c:pt>
                <c:pt idx="40">
                  <c:v>3.8887237539970892E-2</c:v>
                </c:pt>
                <c:pt idx="41">
                  <c:v>3.3878825976961235E-2</c:v>
                </c:pt>
                <c:pt idx="42">
                  <c:v>2.8613572795335662E-2</c:v>
                </c:pt>
                <c:pt idx="43">
                  <c:v>2.6430419037100611E-2</c:v>
                </c:pt>
                <c:pt idx="44">
                  <c:v>2.2834636376478368E-2</c:v>
                </c:pt>
                <c:pt idx="45">
                  <c:v>1.9624116143779846E-2</c:v>
                </c:pt>
                <c:pt idx="46">
                  <c:v>1.5771491864541631E-2</c:v>
                </c:pt>
                <c:pt idx="47">
                  <c:v>1.1918867585303444E-2</c:v>
                </c:pt>
                <c:pt idx="48">
                  <c:v>6.7820352129858152E-3</c:v>
                </c:pt>
                <c:pt idx="49">
                  <c:v>4.2136190268270146E-3</c:v>
                </c:pt>
                <c:pt idx="50">
                  <c:v>2.9294109337476282E-3</c:v>
                </c:pt>
              </c:numCache>
            </c:numRef>
          </c:xVal>
          <c:yVal>
            <c:numRef>
              <c:f>'EQ5'!$N$28:$N$78</c:f>
              <c:numCache>
                <c:formatCode>0.0000</c:formatCode>
                <c:ptCount val="51"/>
                <c:pt idx="0">
                  <c:v>1.1414516319076249</c:v>
                </c:pt>
                <c:pt idx="1">
                  <c:v>1.2519146930599709</c:v>
                </c:pt>
                <c:pt idx="2">
                  <c:v>1.2445504889831394</c:v>
                </c:pt>
                <c:pt idx="3">
                  <c:v>1.0457169789089229</c:v>
                </c:pt>
                <c:pt idx="4">
                  <c:v>1.1856368563685762</c:v>
                </c:pt>
                <c:pt idx="5">
                  <c:v>1.3108283256745599</c:v>
                </c:pt>
                <c:pt idx="6">
                  <c:v>1.1635442441380879</c:v>
                </c:pt>
                <c:pt idx="7">
                  <c:v>1.0236243666784521</c:v>
                </c:pt>
                <c:pt idx="8">
                  <c:v>1.0899022033698564</c:v>
                </c:pt>
                <c:pt idx="9">
                  <c:v>1.0530811829857418</c:v>
                </c:pt>
                <c:pt idx="10">
                  <c:v>0.98680334629434041</c:v>
                </c:pt>
                <c:pt idx="11">
                  <c:v>1.038352774832088</c:v>
                </c:pt>
                <c:pt idx="12">
                  <c:v>0.89843289737245402</c:v>
                </c:pt>
                <c:pt idx="13">
                  <c:v>1.0236243666784568</c:v>
                </c:pt>
                <c:pt idx="14">
                  <c:v>1.067809591139389</c:v>
                </c:pt>
                <c:pt idx="15">
                  <c:v>0.84688346883468713</c:v>
                </c:pt>
                <c:pt idx="16">
                  <c:v>0.92788971367973883</c:v>
                </c:pt>
                <c:pt idx="17">
                  <c:v>0.97207493814069013</c:v>
                </c:pt>
                <c:pt idx="18">
                  <c:v>0.88370448921880684</c:v>
                </c:pt>
                <c:pt idx="19">
                  <c:v>0.90579710144927295</c:v>
                </c:pt>
                <c:pt idx="20">
                  <c:v>0.81006244845057085</c:v>
                </c:pt>
                <c:pt idx="21">
                  <c:v>0.66277836691410186</c:v>
                </c:pt>
                <c:pt idx="22">
                  <c:v>0.73642040768233796</c:v>
                </c:pt>
                <c:pt idx="23">
                  <c:v>0.81006244845057074</c:v>
                </c:pt>
                <c:pt idx="24">
                  <c:v>0.73642040768233485</c:v>
                </c:pt>
                <c:pt idx="25">
                  <c:v>0.8100624484505724</c:v>
                </c:pt>
                <c:pt idx="26">
                  <c:v>0.73642040768233952</c:v>
                </c:pt>
                <c:pt idx="27">
                  <c:v>0.66277836691410363</c:v>
                </c:pt>
                <c:pt idx="28">
                  <c:v>0.73642040768233796</c:v>
                </c:pt>
                <c:pt idx="29">
                  <c:v>0.66277836691410352</c:v>
                </c:pt>
                <c:pt idx="30">
                  <c:v>0.73642040768233641</c:v>
                </c:pt>
                <c:pt idx="31">
                  <c:v>0.66277836691410519</c:v>
                </c:pt>
                <c:pt idx="32">
                  <c:v>0.51549428537763631</c:v>
                </c:pt>
                <c:pt idx="33">
                  <c:v>0.59650053022269434</c:v>
                </c:pt>
                <c:pt idx="34">
                  <c:v>0.70696359137504672</c:v>
                </c:pt>
                <c:pt idx="35">
                  <c:v>0.33138918345705254</c:v>
                </c:pt>
                <c:pt idx="36">
                  <c:v>0.64804995876045313</c:v>
                </c:pt>
                <c:pt idx="37">
                  <c:v>0.72905620360551271</c:v>
                </c:pt>
                <c:pt idx="38">
                  <c:v>0.41239542830211062</c:v>
                </c:pt>
                <c:pt idx="39">
                  <c:v>0.61859314245316188</c:v>
                </c:pt>
                <c:pt idx="40">
                  <c:v>0.58913632614587064</c:v>
                </c:pt>
                <c:pt idx="41">
                  <c:v>0.42712383645576102</c:v>
                </c:pt>
                <c:pt idx="42">
                  <c:v>0.33138918345705098</c:v>
                </c:pt>
                <c:pt idx="43">
                  <c:v>0.39030281607163497</c:v>
                </c:pt>
                <c:pt idx="44">
                  <c:v>0.40503122422528698</c:v>
                </c:pt>
                <c:pt idx="45">
                  <c:v>0.44185224460940187</c:v>
                </c:pt>
                <c:pt idx="46">
                  <c:v>0.51549428537763631</c:v>
                </c:pt>
                <c:pt idx="47">
                  <c:v>0.44185224460940342</c:v>
                </c:pt>
                <c:pt idx="48">
                  <c:v>0.2209261223047001</c:v>
                </c:pt>
                <c:pt idx="49">
                  <c:v>7.0472510954600096E-2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2-4DC7-874E-8E02E7053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013184"/>
        <c:axId val="1614012224"/>
      </c:scatterChart>
      <c:valAx>
        <c:axId val="1614013184"/>
        <c:scaling>
          <c:orientation val="minMax"/>
          <c:max val="0.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 sz="900"/>
                  <a:t>Humedad libre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2224"/>
        <c:crosses val="autoZero"/>
        <c:crossBetween val="midCat"/>
        <c:majorUnit val="0.1"/>
      </c:valAx>
      <c:valAx>
        <c:axId val="161401222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 sz="900"/>
                  <a:t>Velocidad</a:t>
                </a:r>
                <a:r>
                  <a:rPr lang="es-MX" sz="900" baseline="0"/>
                  <a:t> de secado (kg/min*m</a:t>
                </a:r>
                <a:r>
                  <a:rPr lang="es-MX" sz="900" baseline="30000"/>
                  <a:t>2</a:t>
                </a:r>
                <a:r>
                  <a:rPr lang="es-MX" sz="900" baseline="0"/>
                  <a:t>)</a:t>
                </a:r>
                <a:endParaRPr lang="es-MX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6140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chart" Target="../charts/chart1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0" Type="http://schemas.openxmlformats.org/officeDocument/2006/relationships/chart" Target="../charts/chart20.xml"/><Relationship Id="rId4" Type="http://schemas.openxmlformats.org/officeDocument/2006/relationships/chart" Target="../charts/chart17.xml"/><Relationship Id="rId9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chart" Target="../charts/chart31.xml"/><Relationship Id="rId4" Type="http://schemas.openxmlformats.org/officeDocument/2006/relationships/chart" Target="../charts/chart29.xml"/><Relationship Id="rId9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731520</xdr:colOff>
      <xdr:row>2</xdr:row>
      <xdr:rowOff>11430</xdr:rowOff>
    </xdr:from>
    <xdr:to>
      <xdr:col>15</xdr:col>
      <xdr:colOff>601980</xdr:colOff>
      <xdr:row>17</xdr:row>
      <xdr:rowOff>11430</xdr:rowOff>
    </xdr:to>
    <xdr:graphicFrame macro="">
      <xdr:nvGraphicFramePr>
        <xdr:cNvPr id="16" name="Gráfico 1">
          <a:extLst>
            <a:ext uri="{FF2B5EF4-FFF2-40B4-BE49-F238E27FC236}">
              <a16:creationId xmlns:a16="http://schemas.microsoft.com/office/drawing/2014/main" id="{7084586C-71CF-68DA-574E-43EB9EDD5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2258</xdr:colOff>
      <xdr:row>2</xdr:row>
      <xdr:rowOff>49295</xdr:rowOff>
    </xdr:from>
    <xdr:to>
      <xdr:col>21</xdr:col>
      <xdr:colOff>611858</xdr:colOff>
      <xdr:row>17</xdr:row>
      <xdr:rowOff>49295</xdr:rowOff>
    </xdr:to>
    <xdr:graphicFrame macro="">
      <xdr:nvGraphicFramePr>
        <xdr:cNvPr id="18" name="Gráfico 2">
          <a:extLst>
            <a:ext uri="{FF2B5EF4-FFF2-40B4-BE49-F238E27FC236}">
              <a16:creationId xmlns:a16="http://schemas.microsoft.com/office/drawing/2014/main" id="{C64DB427-4846-4C66-8EA7-09F92A9A7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731520</xdr:colOff>
      <xdr:row>17</xdr:row>
      <xdr:rowOff>175260</xdr:rowOff>
    </xdr:from>
    <xdr:to>
      <xdr:col>15</xdr:col>
      <xdr:colOff>601980</xdr:colOff>
      <xdr:row>32</xdr:row>
      <xdr:rowOff>175260</xdr:rowOff>
    </xdr:to>
    <xdr:graphicFrame macro="">
      <xdr:nvGraphicFramePr>
        <xdr:cNvPr id="19" name="Gráfico 3">
          <a:extLst>
            <a:ext uri="{FF2B5EF4-FFF2-40B4-BE49-F238E27FC236}">
              <a16:creationId xmlns:a16="http://schemas.microsoft.com/office/drawing/2014/main" id="{7A0EF9C5-F704-4D33-BD8C-D606775D6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7620</xdr:colOff>
      <xdr:row>18</xdr:row>
      <xdr:rowOff>0</xdr:rowOff>
    </xdr:from>
    <xdr:to>
      <xdr:col>21</xdr:col>
      <xdr:colOff>617220</xdr:colOff>
      <xdr:row>33</xdr:row>
      <xdr:rowOff>0</xdr:rowOff>
    </xdr:to>
    <xdr:graphicFrame macro="">
      <xdr:nvGraphicFramePr>
        <xdr:cNvPr id="20" name="Gráfico 4">
          <a:extLst>
            <a:ext uri="{FF2B5EF4-FFF2-40B4-BE49-F238E27FC236}">
              <a16:creationId xmlns:a16="http://schemas.microsoft.com/office/drawing/2014/main" id="{BAA4B903-81E6-44C7-8911-D50EF2F92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33</xdr:row>
      <xdr:rowOff>152400</xdr:rowOff>
    </xdr:from>
    <xdr:to>
      <xdr:col>15</xdr:col>
      <xdr:colOff>609600</xdr:colOff>
      <xdr:row>48</xdr:row>
      <xdr:rowOff>152400</xdr:rowOff>
    </xdr:to>
    <xdr:graphicFrame macro="">
      <xdr:nvGraphicFramePr>
        <xdr:cNvPr id="21" name="Gráfico 5">
          <a:extLst>
            <a:ext uri="{FF2B5EF4-FFF2-40B4-BE49-F238E27FC236}">
              <a16:creationId xmlns:a16="http://schemas.microsoft.com/office/drawing/2014/main" id="{0F9CAC10-CE18-42D7-868A-AEC2C8762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15240</xdr:colOff>
      <xdr:row>33</xdr:row>
      <xdr:rowOff>175260</xdr:rowOff>
    </xdr:from>
    <xdr:to>
      <xdr:col>21</xdr:col>
      <xdr:colOff>624840</xdr:colOff>
      <xdr:row>48</xdr:row>
      <xdr:rowOff>175260</xdr:rowOff>
    </xdr:to>
    <xdr:graphicFrame macro="">
      <xdr:nvGraphicFramePr>
        <xdr:cNvPr id="22" name="Gráfico 6">
          <a:extLst>
            <a:ext uri="{FF2B5EF4-FFF2-40B4-BE49-F238E27FC236}">
              <a16:creationId xmlns:a16="http://schemas.microsoft.com/office/drawing/2014/main" id="{407772C8-2FB3-4B3A-953B-497EBAEF4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13252</xdr:colOff>
      <xdr:row>53</xdr:row>
      <xdr:rowOff>165652</xdr:rowOff>
    </xdr:from>
    <xdr:to>
      <xdr:col>15</xdr:col>
      <xdr:colOff>618003</xdr:colOff>
      <xdr:row>68</xdr:row>
      <xdr:rowOff>165652</xdr:rowOff>
    </xdr:to>
    <xdr:graphicFrame macro="">
      <xdr:nvGraphicFramePr>
        <xdr:cNvPr id="23" name="Gráfico 6">
          <a:extLst>
            <a:ext uri="{FF2B5EF4-FFF2-40B4-BE49-F238E27FC236}">
              <a16:creationId xmlns:a16="http://schemas.microsoft.com/office/drawing/2014/main" id="{26B29B9C-CED4-4237-9B5E-645C87843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28222</xdr:colOff>
      <xdr:row>54</xdr:row>
      <xdr:rowOff>0</xdr:rowOff>
    </xdr:from>
    <xdr:to>
      <xdr:col>21</xdr:col>
      <xdr:colOff>637822</xdr:colOff>
      <xdr:row>69</xdr:row>
      <xdr:rowOff>0</xdr:rowOff>
    </xdr:to>
    <xdr:graphicFrame macro="">
      <xdr:nvGraphicFramePr>
        <xdr:cNvPr id="24" name="Gráfico 8">
          <a:extLst>
            <a:ext uri="{FF2B5EF4-FFF2-40B4-BE49-F238E27FC236}">
              <a16:creationId xmlns:a16="http://schemas.microsoft.com/office/drawing/2014/main" id="{2B25D7DB-2002-4B5D-BBFF-F32452E9F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11430</xdr:rowOff>
    </xdr:from>
    <xdr:to>
      <xdr:col>15</xdr:col>
      <xdr:colOff>601980</xdr:colOff>
      <xdr:row>18</xdr:row>
      <xdr:rowOff>11430</xdr:rowOff>
    </xdr:to>
    <xdr:graphicFrame macro="">
      <xdr:nvGraphicFramePr>
        <xdr:cNvPr id="78" name="Gráfico 1">
          <a:extLst>
            <a:ext uri="{FF2B5EF4-FFF2-40B4-BE49-F238E27FC236}">
              <a16:creationId xmlns:a16="http://schemas.microsoft.com/office/drawing/2014/main" id="{24DB0545-2D0A-4B64-85C4-29C5BCE18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2258</xdr:colOff>
      <xdr:row>3</xdr:row>
      <xdr:rowOff>49295</xdr:rowOff>
    </xdr:from>
    <xdr:to>
      <xdr:col>21</xdr:col>
      <xdr:colOff>611858</xdr:colOff>
      <xdr:row>18</xdr:row>
      <xdr:rowOff>49295</xdr:rowOff>
    </xdr:to>
    <xdr:graphicFrame macro="">
      <xdr:nvGraphicFramePr>
        <xdr:cNvPr id="76" name="Gráfico 2">
          <a:extLst>
            <a:ext uri="{FF2B5EF4-FFF2-40B4-BE49-F238E27FC236}">
              <a16:creationId xmlns:a16="http://schemas.microsoft.com/office/drawing/2014/main" id="{D414A7CF-AA97-4097-B5B0-482F0200E30D}"/>
            </a:ext>
            <a:ext uri="{147F2762-F138-4A5C-976F-8EAC2B608ADB}">
              <a16:predDERef xmlns:a16="http://schemas.microsoft.com/office/drawing/2014/main" pred="{24DB0545-2D0A-4B64-85C4-29C5BCE18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18</xdr:row>
      <xdr:rowOff>175260</xdr:rowOff>
    </xdr:from>
    <xdr:to>
      <xdr:col>15</xdr:col>
      <xdr:colOff>601980</xdr:colOff>
      <xdr:row>33</xdr:row>
      <xdr:rowOff>175260</xdr:rowOff>
    </xdr:to>
    <xdr:graphicFrame macro="">
      <xdr:nvGraphicFramePr>
        <xdr:cNvPr id="75" name="Gráfico 3">
          <a:extLst>
            <a:ext uri="{FF2B5EF4-FFF2-40B4-BE49-F238E27FC236}">
              <a16:creationId xmlns:a16="http://schemas.microsoft.com/office/drawing/2014/main" id="{D8A15992-4191-4AF7-9182-8F71194CF959}"/>
            </a:ext>
            <a:ext uri="{147F2762-F138-4A5C-976F-8EAC2B608ADB}">
              <a16:predDERef xmlns:a16="http://schemas.microsoft.com/office/drawing/2014/main" pred="{D414A7CF-AA97-4097-B5B0-482F0200E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7620</xdr:colOff>
      <xdr:row>19</xdr:row>
      <xdr:rowOff>0</xdr:rowOff>
    </xdr:from>
    <xdr:to>
      <xdr:col>21</xdr:col>
      <xdr:colOff>617220</xdr:colOff>
      <xdr:row>34</xdr:row>
      <xdr:rowOff>0</xdr:rowOff>
    </xdr:to>
    <xdr:graphicFrame macro="">
      <xdr:nvGraphicFramePr>
        <xdr:cNvPr id="73" name="Gráfico 4">
          <a:extLst>
            <a:ext uri="{FF2B5EF4-FFF2-40B4-BE49-F238E27FC236}">
              <a16:creationId xmlns:a16="http://schemas.microsoft.com/office/drawing/2014/main" id="{BE2B9A4B-3AAE-4718-8C9A-2111AC35A2BB}"/>
            </a:ext>
            <a:ext uri="{147F2762-F138-4A5C-976F-8EAC2B608ADB}">
              <a16:predDERef xmlns:a16="http://schemas.microsoft.com/office/drawing/2014/main" pred="{D8A15992-4191-4AF7-9182-8F71194CF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34</xdr:row>
      <xdr:rowOff>152400</xdr:rowOff>
    </xdr:from>
    <xdr:to>
      <xdr:col>15</xdr:col>
      <xdr:colOff>609600</xdr:colOff>
      <xdr:row>49</xdr:row>
      <xdr:rowOff>152400</xdr:rowOff>
    </xdr:to>
    <xdr:graphicFrame macro="">
      <xdr:nvGraphicFramePr>
        <xdr:cNvPr id="71" name="Gráfico 5">
          <a:extLst>
            <a:ext uri="{FF2B5EF4-FFF2-40B4-BE49-F238E27FC236}">
              <a16:creationId xmlns:a16="http://schemas.microsoft.com/office/drawing/2014/main" id="{ECC90150-6444-4948-B6D5-A67F856D265E}"/>
            </a:ext>
            <a:ext uri="{147F2762-F138-4A5C-976F-8EAC2B608ADB}">
              <a16:predDERef xmlns:a16="http://schemas.microsoft.com/office/drawing/2014/main" pred="{BE2B9A4B-3AAE-4718-8C9A-2111AC35A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15240</xdr:colOff>
      <xdr:row>34</xdr:row>
      <xdr:rowOff>175260</xdr:rowOff>
    </xdr:from>
    <xdr:to>
      <xdr:col>21</xdr:col>
      <xdr:colOff>624840</xdr:colOff>
      <xdr:row>49</xdr:row>
      <xdr:rowOff>175260</xdr:rowOff>
    </xdr:to>
    <xdr:graphicFrame macro="">
      <xdr:nvGraphicFramePr>
        <xdr:cNvPr id="69" name="Gráfico 6">
          <a:extLst>
            <a:ext uri="{FF2B5EF4-FFF2-40B4-BE49-F238E27FC236}">
              <a16:creationId xmlns:a16="http://schemas.microsoft.com/office/drawing/2014/main" id="{75F670DD-19F8-4A16-8A9C-4086C83BD2B6}"/>
            </a:ext>
            <a:ext uri="{147F2762-F138-4A5C-976F-8EAC2B608ADB}">
              <a16:predDERef xmlns:a16="http://schemas.microsoft.com/office/drawing/2014/main" pred="{ECC90150-6444-4948-B6D5-A67F856D2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549192</xdr:colOff>
      <xdr:row>55</xdr:row>
      <xdr:rowOff>3727</xdr:rowOff>
    </xdr:from>
    <xdr:to>
      <xdr:col>15</xdr:col>
      <xdr:colOff>439568</xdr:colOff>
      <xdr:row>70</xdr:row>
      <xdr:rowOff>3727</xdr:rowOff>
    </xdr:to>
    <xdr:graphicFrame macro="">
      <xdr:nvGraphicFramePr>
        <xdr:cNvPr id="5" name="Gráfico 6">
          <a:extLst>
            <a:ext uri="{FF2B5EF4-FFF2-40B4-BE49-F238E27FC236}">
              <a16:creationId xmlns:a16="http://schemas.microsoft.com/office/drawing/2014/main" id="{BA3F7386-AE8C-4130-BAC7-1E24F48916FF}"/>
            </a:ext>
            <a:ext uri="{147F2762-F138-4A5C-976F-8EAC2B608ADB}">
              <a16:predDERef xmlns:a16="http://schemas.microsoft.com/office/drawing/2014/main" pred="{75F670DD-19F8-4A16-8A9C-4086C83BD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28222</xdr:colOff>
      <xdr:row>55</xdr:row>
      <xdr:rowOff>0</xdr:rowOff>
    </xdr:from>
    <xdr:to>
      <xdr:col>21</xdr:col>
      <xdr:colOff>637822</xdr:colOff>
      <xdr:row>70</xdr:row>
      <xdr:rowOff>0</xdr:rowOff>
    </xdr:to>
    <xdr:graphicFrame macro="">
      <xdr:nvGraphicFramePr>
        <xdr:cNvPr id="86" name="Gráfico 8">
          <a:extLst>
            <a:ext uri="{FF2B5EF4-FFF2-40B4-BE49-F238E27FC236}">
              <a16:creationId xmlns:a16="http://schemas.microsoft.com/office/drawing/2014/main" id="{A0407CAB-C531-4B4D-B3C2-5A4156CE8A12}"/>
            </a:ext>
            <a:ext uri="{147F2762-F138-4A5C-976F-8EAC2B608ADB}">
              <a16:predDERef xmlns:a16="http://schemas.microsoft.com/office/drawing/2014/main" pred="{BA3F7386-AE8C-4130-BAC7-1E24F4891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528950</xdr:colOff>
      <xdr:row>3</xdr:row>
      <xdr:rowOff>82223</xdr:rowOff>
    </xdr:from>
    <xdr:to>
      <xdr:col>6</xdr:col>
      <xdr:colOff>264135</xdr:colOff>
      <xdr:row>4</xdr:row>
      <xdr:rowOff>384078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E412A14E-E2F1-08FF-1AAB-0E1647A03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1150" y="615623"/>
          <a:ext cx="2097385" cy="479655"/>
        </a:xfrm>
        <a:prstGeom prst="rect">
          <a:avLst/>
        </a:prstGeom>
      </xdr:spPr>
    </xdr:pic>
    <xdr:clientData/>
  </xdr:twoCellAnchor>
  <xdr:twoCellAnchor editAs="oneCell">
    <xdr:from>
      <xdr:col>8</xdr:col>
      <xdr:colOff>360576</xdr:colOff>
      <xdr:row>14</xdr:row>
      <xdr:rowOff>16890</xdr:rowOff>
    </xdr:from>
    <xdr:to>
      <xdr:col>10</xdr:col>
      <xdr:colOff>140618</xdr:colOff>
      <xdr:row>15</xdr:row>
      <xdr:rowOff>119985</xdr:rowOff>
    </xdr:to>
    <xdr:pic>
      <xdr:nvPicPr>
        <xdr:cNvPr id="39" name="Imagen 2">
          <a:extLst>
            <a:ext uri="{FF2B5EF4-FFF2-40B4-BE49-F238E27FC236}">
              <a16:creationId xmlns:a16="http://schemas.microsoft.com/office/drawing/2014/main" id="{69BEC866-53CA-0F3C-C6EF-56EB0FED9E7D}"/>
            </a:ext>
            <a:ext uri="{147F2762-F138-4A5C-976F-8EAC2B608ADB}">
              <a16:predDERef xmlns:a16="http://schemas.microsoft.com/office/drawing/2014/main" pred="{E412A14E-E2F1-08FF-1AAB-0E1647A03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6576" y="3131565"/>
          <a:ext cx="1304042" cy="46504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2</xdr:row>
      <xdr:rowOff>177420</xdr:rowOff>
    </xdr:from>
    <xdr:to>
      <xdr:col>12</xdr:col>
      <xdr:colOff>149225</xdr:colOff>
      <xdr:row>6</xdr:row>
      <xdr:rowOff>22221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243B3CFC-24D5-D955-53B9-A4FFD625A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5158" y="548651"/>
          <a:ext cx="4273990" cy="1134339"/>
        </a:xfrm>
        <a:prstGeom prst="rect">
          <a:avLst/>
        </a:prstGeom>
      </xdr:spPr>
    </xdr:pic>
    <xdr:clientData/>
  </xdr:twoCellAnchor>
  <xdr:twoCellAnchor>
    <xdr:from>
      <xdr:col>14</xdr:col>
      <xdr:colOff>733583</xdr:colOff>
      <xdr:row>21</xdr:row>
      <xdr:rowOff>56704</xdr:rowOff>
    </xdr:from>
    <xdr:to>
      <xdr:col>20</xdr:col>
      <xdr:colOff>463073</xdr:colOff>
      <xdr:row>36</xdr:row>
      <xdr:rowOff>56704</xdr:rowOff>
    </xdr:to>
    <xdr:graphicFrame macro="">
      <xdr:nvGraphicFramePr>
        <xdr:cNvPr id="7" name="Gráfico 1">
          <a:extLst>
            <a:ext uri="{FF2B5EF4-FFF2-40B4-BE49-F238E27FC236}">
              <a16:creationId xmlns:a16="http://schemas.microsoft.com/office/drawing/2014/main" id="{E2D9D8D0-3322-4A93-99BA-BA84B87B0A25}"/>
            </a:ext>
            <a:ext uri="{147F2762-F138-4A5C-976F-8EAC2B608ADB}">
              <a16:predDERef xmlns:a16="http://schemas.microsoft.com/office/drawing/2014/main" pred="{243B3CFC-24D5-D955-53B9-A4FFD625A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17</xdr:col>
      <xdr:colOff>105763</xdr:colOff>
      <xdr:row>5</xdr:row>
      <xdr:rowOff>364147</xdr:rowOff>
    </xdr:from>
    <xdr:ext cx="1886020" cy="989355"/>
    <xdr:pic>
      <xdr:nvPicPr>
        <xdr:cNvPr id="55" name="Imagen 36">
          <a:extLst>
            <a:ext uri="{FF2B5EF4-FFF2-40B4-BE49-F238E27FC236}">
              <a16:creationId xmlns:a16="http://schemas.microsoft.com/office/drawing/2014/main" id="{FD615A75-AD65-1A5C-C708-06EBFE83E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64213" y="1888147"/>
          <a:ext cx="1886020" cy="989355"/>
        </a:xfrm>
        <a:prstGeom prst="rect">
          <a:avLst/>
        </a:prstGeom>
      </xdr:spPr>
    </xdr:pic>
    <xdr:clientData/>
  </xdr:oneCellAnchor>
  <xdr:oneCellAnchor>
    <xdr:from>
      <xdr:col>17</xdr:col>
      <xdr:colOff>77665</xdr:colOff>
      <xdr:row>4</xdr:row>
      <xdr:rowOff>170328</xdr:rowOff>
    </xdr:from>
    <xdr:ext cx="1870556" cy="916228"/>
    <xdr:pic>
      <xdr:nvPicPr>
        <xdr:cNvPr id="240" name="Imagen 227">
          <a:extLst>
            <a:ext uri="{FF2B5EF4-FFF2-40B4-BE49-F238E27FC236}">
              <a16:creationId xmlns:a16="http://schemas.microsoft.com/office/drawing/2014/main" id="{3BDAD5F2-8E8B-1437-0D31-7F877E43A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21221" y="8425328"/>
          <a:ext cx="1859267" cy="902116"/>
        </a:xfrm>
        <a:prstGeom prst="rect">
          <a:avLst/>
        </a:prstGeom>
      </xdr:spPr>
    </xdr:pic>
    <xdr:clientData/>
  </xdr:oneCellAnchor>
  <xdr:twoCellAnchor>
    <xdr:from>
      <xdr:col>14</xdr:col>
      <xdr:colOff>573576</xdr:colOff>
      <xdr:row>35</xdr:row>
      <xdr:rowOff>165926</xdr:rowOff>
    </xdr:from>
    <xdr:to>
      <xdr:col>20</xdr:col>
      <xdr:colOff>419682</xdr:colOff>
      <xdr:row>51</xdr:row>
      <xdr:rowOff>64916</xdr:rowOff>
    </xdr:to>
    <xdr:graphicFrame macro="">
      <xdr:nvGraphicFramePr>
        <xdr:cNvPr id="49" name="Gráfico 232">
          <a:extLst>
            <a:ext uri="{FF2B5EF4-FFF2-40B4-BE49-F238E27FC236}">
              <a16:creationId xmlns:a16="http://schemas.microsoft.com/office/drawing/2014/main" id="{CC5E2D74-BB06-FFAF-1FCE-ECF356DA5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845820</xdr:colOff>
      <xdr:row>13</xdr:row>
      <xdr:rowOff>45720</xdr:rowOff>
    </xdr:from>
    <xdr:to>
      <xdr:col>12</xdr:col>
      <xdr:colOff>344289</xdr:colOff>
      <xdr:row>16</xdr:row>
      <xdr:rowOff>2600</xdr:rowOff>
    </xdr:to>
    <xdr:pic>
      <xdr:nvPicPr>
        <xdr:cNvPr id="53" name="Imagen 1">
          <a:extLst>
            <a:ext uri="{FF2B5EF4-FFF2-40B4-BE49-F238E27FC236}">
              <a16:creationId xmlns:a16="http://schemas.microsoft.com/office/drawing/2014/main" id="{DD12673F-8654-E780-9ECD-8C0E2CC4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94220" y="3886200"/>
          <a:ext cx="1371719" cy="693480"/>
        </a:xfrm>
        <a:prstGeom prst="rect">
          <a:avLst/>
        </a:prstGeom>
      </xdr:spPr>
    </xdr:pic>
    <xdr:clientData/>
  </xdr:twoCellAnchor>
  <xdr:twoCellAnchor>
    <xdr:from>
      <xdr:col>14</xdr:col>
      <xdr:colOff>702061</xdr:colOff>
      <xdr:row>52</xdr:row>
      <xdr:rowOff>168869</xdr:rowOff>
    </xdr:from>
    <xdr:to>
      <xdr:col>20</xdr:col>
      <xdr:colOff>540696</xdr:colOff>
      <xdr:row>68</xdr:row>
      <xdr:rowOff>45448</xdr:rowOff>
    </xdr:to>
    <xdr:graphicFrame macro="">
      <xdr:nvGraphicFramePr>
        <xdr:cNvPr id="284" name="Gráfico 1">
          <a:extLst>
            <a:ext uri="{FF2B5EF4-FFF2-40B4-BE49-F238E27FC236}">
              <a16:creationId xmlns:a16="http://schemas.microsoft.com/office/drawing/2014/main" id="{167C6D66-D992-5189-FE9B-0B3085D31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6645</xdr:colOff>
      <xdr:row>32</xdr:row>
      <xdr:rowOff>121832</xdr:rowOff>
    </xdr:from>
    <xdr:to>
      <xdr:col>26</xdr:col>
      <xdr:colOff>555994</xdr:colOff>
      <xdr:row>47</xdr:row>
      <xdr:rowOff>96137</xdr:rowOff>
    </xdr:to>
    <xdr:graphicFrame macro="">
      <xdr:nvGraphicFramePr>
        <xdr:cNvPr id="246" name="Gráfico 233">
          <a:extLst>
            <a:ext uri="{FF2B5EF4-FFF2-40B4-BE49-F238E27FC236}">
              <a16:creationId xmlns:a16="http://schemas.microsoft.com/office/drawing/2014/main" id="{5FD57F47-E2BD-A700-D428-057A4EAEA9C9}"/>
            </a:ext>
            <a:ext uri="{147F2762-F138-4A5C-976F-8EAC2B608ADB}">
              <a16:predDERef xmlns:a16="http://schemas.microsoft.com/office/drawing/2014/main" pred="{167C6D66-D992-5189-FE9B-0B3085D31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82826</xdr:colOff>
      <xdr:row>57</xdr:row>
      <xdr:rowOff>0</xdr:rowOff>
    </xdr:from>
    <xdr:to>
      <xdr:col>19</xdr:col>
      <xdr:colOff>127000</xdr:colOff>
      <xdr:row>57</xdr:row>
      <xdr:rowOff>5522</xdr:rowOff>
    </xdr:to>
    <xdr:cxnSp macro="">
      <xdr:nvCxnSpPr>
        <xdr:cNvPr id="47" name="Conector recto 254">
          <a:extLst>
            <a:ext uri="{FF2B5EF4-FFF2-40B4-BE49-F238E27FC236}">
              <a16:creationId xmlns:a16="http://schemas.microsoft.com/office/drawing/2014/main" id="{AC487EA7-EC4E-CDCE-8A9D-0111F9F21591}"/>
            </a:ext>
          </a:extLst>
        </xdr:cNvPr>
        <xdr:cNvCxnSpPr/>
      </xdr:nvCxnSpPr>
      <xdr:spPr>
        <a:xfrm>
          <a:off x="14765130" y="11871739"/>
          <a:ext cx="844827" cy="552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56</xdr:row>
      <xdr:rowOff>22412</xdr:rowOff>
    </xdr:from>
    <xdr:to>
      <xdr:col>18</xdr:col>
      <xdr:colOff>7470</xdr:colOff>
      <xdr:row>65</xdr:row>
      <xdr:rowOff>59764</xdr:rowOff>
    </xdr:to>
    <xdr:cxnSp macro="">
      <xdr:nvCxnSpPr>
        <xdr:cNvPr id="192" name="Conector recto 255">
          <a:extLst>
            <a:ext uri="{FF2B5EF4-FFF2-40B4-BE49-F238E27FC236}">
              <a16:creationId xmlns:a16="http://schemas.microsoft.com/office/drawing/2014/main" id="{F0E5DC3D-A839-4C19-A0B4-A2D1875720F8}"/>
            </a:ext>
          </a:extLst>
        </xdr:cNvPr>
        <xdr:cNvCxnSpPr/>
      </xdr:nvCxnSpPr>
      <xdr:spPr>
        <a:xfrm flipH="1">
          <a:off x="14664765" y="11938000"/>
          <a:ext cx="7470" cy="171823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268654</xdr:colOff>
      <xdr:row>64</xdr:row>
      <xdr:rowOff>131884</xdr:rowOff>
    </xdr:from>
    <xdr:ext cx="783548" cy="436786"/>
    <xdr:sp macro="" textlink="">
      <xdr:nvSpPr>
        <xdr:cNvPr id="232" name="CuadroTexto 258">
          <a:extLst>
            <a:ext uri="{FF2B5EF4-FFF2-40B4-BE49-F238E27FC236}">
              <a16:creationId xmlns:a16="http://schemas.microsoft.com/office/drawing/2014/main" id="{72B72F2F-6839-0FAA-850B-630F8A616878}"/>
            </a:ext>
          </a:extLst>
        </xdr:cNvPr>
        <xdr:cNvSpPr txBox="1"/>
      </xdr:nvSpPr>
      <xdr:spPr>
        <a:xfrm>
          <a:off x="15762654" y="13471769"/>
          <a:ext cx="78354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bg1"/>
              </a:solidFill>
            </a:rPr>
            <a:t>XC: 0.29</a:t>
          </a:r>
        </a:p>
        <a:p>
          <a:r>
            <a:rPr lang="es-MX" sz="1100">
              <a:solidFill>
                <a:schemeClr val="bg1"/>
              </a:solidFill>
            </a:rPr>
            <a:t>X*:</a:t>
          </a:r>
          <a:r>
            <a:rPr lang="es-MX" sz="1100" baseline="0">
              <a:solidFill>
                <a:schemeClr val="bg1"/>
              </a:solidFill>
            </a:rPr>
            <a:t> 0.0042</a:t>
          </a:r>
          <a:endParaRPr lang="es-MX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17</xdr:col>
      <xdr:colOff>568699</xdr:colOff>
      <xdr:row>9</xdr:row>
      <xdr:rowOff>162485</xdr:rowOff>
    </xdr:from>
    <xdr:to>
      <xdr:col>28</xdr:col>
      <xdr:colOff>530204</xdr:colOff>
      <xdr:row>19</xdr:row>
      <xdr:rowOff>153295</xdr:rowOff>
    </xdr:to>
    <xdr:pic>
      <xdr:nvPicPr>
        <xdr:cNvPr id="216" name="Imagen 261">
          <a:extLst>
            <a:ext uri="{FF2B5EF4-FFF2-40B4-BE49-F238E27FC236}">
              <a16:creationId xmlns:a16="http://schemas.microsoft.com/office/drawing/2014/main" id="{2CB979E7-1E2B-2391-C554-6BF441215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34111" y="2754779"/>
          <a:ext cx="8594965" cy="2368250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0.64373</cdr:x>
      <cdr:y>0.38695</cdr:y>
    </cdr:from>
    <cdr:to>
      <cdr:x>1</cdr:x>
      <cdr:y>0.38695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DB5E1E9B-C5A2-0E28-19D1-C5298D9231EB}"/>
            </a:ext>
          </a:extLst>
        </cdr:cNvPr>
        <cdr:cNvCxnSpPr/>
      </cdr:nvCxnSpPr>
      <cdr:spPr>
        <a:xfrm xmlns:a="http://schemas.openxmlformats.org/drawingml/2006/main" flipH="1">
          <a:off x="2943151" y="1061483"/>
          <a:ext cx="1628849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0.65827</cdr:x>
      <cdr:y>0.27105</cdr:y>
    </cdr:from>
    <cdr:to>
      <cdr:x>0.66336</cdr:x>
      <cdr:y>0.80937</cdr:y>
    </cdr:to>
    <cdr:cxnSp macro="">
      <cdr:nvCxnSpPr>
        <cdr:cNvPr id="2" name="Conector recto 1">
          <a:extLst xmlns:a="http://schemas.openxmlformats.org/drawingml/2006/main">
            <a:ext uri="{FF2B5EF4-FFF2-40B4-BE49-F238E27FC236}">
              <a16:creationId xmlns:a16="http://schemas.microsoft.com/office/drawing/2014/main" id="{92706255-F7AD-6B22-1FF1-7C24FDA717F7}"/>
            </a:ext>
          </a:extLst>
        </cdr:cNvPr>
        <cdr:cNvCxnSpPr/>
      </cdr:nvCxnSpPr>
      <cdr:spPr>
        <a:xfrm xmlns:a="http://schemas.openxmlformats.org/drawingml/2006/main" flipV="1">
          <a:off x="2992568" y="752361"/>
          <a:ext cx="23160" cy="149427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11430</xdr:rowOff>
    </xdr:from>
    <xdr:to>
      <xdr:col>16</xdr:col>
      <xdr:colOff>601980</xdr:colOff>
      <xdr:row>18</xdr:row>
      <xdr:rowOff>11430</xdr:rowOff>
    </xdr:to>
    <xdr:graphicFrame macro="">
      <xdr:nvGraphicFramePr>
        <xdr:cNvPr id="273" name="Gráfico 1">
          <a:extLst>
            <a:ext uri="{FF2B5EF4-FFF2-40B4-BE49-F238E27FC236}">
              <a16:creationId xmlns:a16="http://schemas.microsoft.com/office/drawing/2014/main" id="{0874DB12-2DFB-44AB-80C6-0DD384330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2258</xdr:colOff>
      <xdr:row>3</xdr:row>
      <xdr:rowOff>49295</xdr:rowOff>
    </xdr:from>
    <xdr:to>
      <xdr:col>22</xdr:col>
      <xdr:colOff>611858</xdr:colOff>
      <xdr:row>18</xdr:row>
      <xdr:rowOff>49295</xdr:rowOff>
    </xdr:to>
    <xdr:graphicFrame macro="">
      <xdr:nvGraphicFramePr>
        <xdr:cNvPr id="267" name="Gráfico 2">
          <a:extLst>
            <a:ext uri="{FF2B5EF4-FFF2-40B4-BE49-F238E27FC236}">
              <a16:creationId xmlns:a16="http://schemas.microsoft.com/office/drawing/2014/main" id="{C4C432AC-C531-4217-909D-9BEC341F6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18</xdr:row>
      <xdr:rowOff>175260</xdr:rowOff>
    </xdr:from>
    <xdr:to>
      <xdr:col>16</xdr:col>
      <xdr:colOff>601980</xdr:colOff>
      <xdr:row>33</xdr:row>
      <xdr:rowOff>175260</xdr:rowOff>
    </xdr:to>
    <xdr:graphicFrame macro="">
      <xdr:nvGraphicFramePr>
        <xdr:cNvPr id="259" name="Gráfico 3">
          <a:extLst>
            <a:ext uri="{FF2B5EF4-FFF2-40B4-BE49-F238E27FC236}">
              <a16:creationId xmlns:a16="http://schemas.microsoft.com/office/drawing/2014/main" id="{9B0AD88C-5939-4242-B6F1-B8E9F3ECA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7620</xdr:colOff>
      <xdr:row>19</xdr:row>
      <xdr:rowOff>0</xdr:rowOff>
    </xdr:from>
    <xdr:to>
      <xdr:col>22</xdr:col>
      <xdr:colOff>617220</xdr:colOff>
      <xdr:row>34</xdr:row>
      <xdr:rowOff>0</xdr:rowOff>
    </xdr:to>
    <xdr:graphicFrame macro="">
      <xdr:nvGraphicFramePr>
        <xdr:cNvPr id="265" name="Gráfico 4">
          <a:extLst>
            <a:ext uri="{FF2B5EF4-FFF2-40B4-BE49-F238E27FC236}">
              <a16:creationId xmlns:a16="http://schemas.microsoft.com/office/drawing/2014/main" id="{2A6074BC-5ACC-4C0C-B2D3-0B2C0A865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34</xdr:row>
      <xdr:rowOff>152400</xdr:rowOff>
    </xdr:from>
    <xdr:to>
      <xdr:col>16</xdr:col>
      <xdr:colOff>609600</xdr:colOff>
      <xdr:row>49</xdr:row>
      <xdr:rowOff>152400</xdr:rowOff>
    </xdr:to>
    <xdr:graphicFrame macro="">
      <xdr:nvGraphicFramePr>
        <xdr:cNvPr id="261" name="Gráfico 5">
          <a:extLst>
            <a:ext uri="{FF2B5EF4-FFF2-40B4-BE49-F238E27FC236}">
              <a16:creationId xmlns:a16="http://schemas.microsoft.com/office/drawing/2014/main" id="{0CEB5F54-FD23-4F25-B72A-B4002BE23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15240</xdr:colOff>
      <xdr:row>34</xdr:row>
      <xdr:rowOff>175260</xdr:rowOff>
    </xdr:from>
    <xdr:to>
      <xdr:col>22</xdr:col>
      <xdr:colOff>624840</xdr:colOff>
      <xdr:row>49</xdr:row>
      <xdr:rowOff>175260</xdr:rowOff>
    </xdr:to>
    <xdr:graphicFrame macro="">
      <xdr:nvGraphicFramePr>
        <xdr:cNvPr id="263" name="Gráfico 6">
          <a:extLst>
            <a:ext uri="{FF2B5EF4-FFF2-40B4-BE49-F238E27FC236}">
              <a16:creationId xmlns:a16="http://schemas.microsoft.com/office/drawing/2014/main" id="{A6C976D1-7F7E-40A8-9B08-536EB48C3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13252</xdr:colOff>
      <xdr:row>54</xdr:row>
      <xdr:rowOff>165652</xdr:rowOff>
    </xdr:from>
    <xdr:to>
      <xdr:col>16</xdr:col>
      <xdr:colOff>618003</xdr:colOff>
      <xdr:row>69</xdr:row>
      <xdr:rowOff>165652</xdr:rowOff>
    </xdr:to>
    <xdr:graphicFrame macro="">
      <xdr:nvGraphicFramePr>
        <xdr:cNvPr id="269" name="Gráfico 6">
          <a:extLst>
            <a:ext uri="{FF2B5EF4-FFF2-40B4-BE49-F238E27FC236}">
              <a16:creationId xmlns:a16="http://schemas.microsoft.com/office/drawing/2014/main" id="{3BAC9629-9B89-4DE2-8A9C-13A83FFBF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28222</xdr:colOff>
      <xdr:row>55</xdr:row>
      <xdr:rowOff>0</xdr:rowOff>
    </xdr:from>
    <xdr:to>
      <xdr:col>22</xdr:col>
      <xdr:colOff>637822</xdr:colOff>
      <xdr:row>70</xdr:row>
      <xdr:rowOff>0</xdr:rowOff>
    </xdr:to>
    <xdr:graphicFrame macro="">
      <xdr:nvGraphicFramePr>
        <xdr:cNvPr id="271" name="Gráfico 8">
          <a:extLst>
            <a:ext uri="{FF2B5EF4-FFF2-40B4-BE49-F238E27FC236}">
              <a16:creationId xmlns:a16="http://schemas.microsoft.com/office/drawing/2014/main" id="{98474AAE-561C-4A21-B44B-2C9AA8534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274950</xdr:colOff>
      <xdr:row>4</xdr:row>
      <xdr:rowOff>31423</xdr:rowOff>
    </xdr:from>
    <xdr:to>
      <xdr:col>6</xdr:col>
      <xdr:colOff>10135</xdr:colOff>
      <xdr:row>4</xdr:row>
      <xdr:rowOff>511078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93B41D-1FC3-465D-8E08-345536AFA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9530" y="762943"/>
          <a:ext cx="2089765" cy="479655"/>
        </a:xfrm>
        <a:prstGeom prst="rect">
          <a:avLst/>
        </a:prstGeom>
      </xdr:spPr>
    </xdr:pic>
    <xdr:clientData/>
  </xdr:twoCellAnchor>
  <xdr:twoCellAnchor editAs="oneCell">
    <xdr:from>
      <xdr:col>8</xdr:col>
      <xdr:colOff>360576</xdr:colOff>
      <xdr:row>14</xdr:row>
      <xdr:rowOff>16890</xdr:rowOff>
    </xdr:from>
    <xdr:to>
      <xdr:col>10</xdr:col>
      <xdr:colOff>140618</xdr:colOff>
      <xdr:row>15</xdr:row>
      <xdr:rowOff>132685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0288D-96E7-4649-9AD1-66D78EDAD718}"/>
            </a:ext>
            <a:ext uri="{147F2762-F138-4A5C-976F-8EAC2B608ADB}">
              <a16:predDERef xmlns:a16="http://schemas.microsoft.com/office/drawing/2014/main" pred="{E412A14E-E2F1-08FF-1AAB-0E1647A03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9456" y="4040250"/>
          <a:ext cx="1349762" cy="46885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</xdr:colOff>
      <xdr:row>2</xdr:row>
      <xdr:rowOff>177420</xdr:rowOff>
    </xdr:from>
    <xdr:to>
      <xdr:col>12</xdr:col>
      <xdr:colOff>156845</xdr:colOff>
      <xdr:row>6</xdr:row>
      <xdr:rowOff>73021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8A5D6D53-2014-46CD-B31C-90F80F15C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1640" y="543180"/>
          <a:ext cx="4340225" cy="1307841"/>
        </a:xfrm>
        <a:prstGeom prst="rect">
          <a:avLst/>
        </a:prstGeom>
      </xdr:spPr>
    </xdr:pic>
    <xdr:clientData/>
  </xdr:twoCellAnchor>
  <xdr:twoCellAnchor>
    <xdr:from>
      <xdr:col>16</xdr:col>
      <xdr:colOff>733583</xdr:colOff>
      <xdr:row>21</xdr:row>
      <xdr:rowOff>56704</xdr:rowOff>
    </xdr:from>
    <xdr:to>
      <xdr:col>22</xdr:col>
      <xdr:colOff>463073</xdr:colOff>
      <xdr:row>36</xdr:row>
      <xdr:rowOff>56704</xdr:rowOff>
    </xdr:to>
    <xdr:graphicFrame macro="">
      <xdr:nvGraphicFramePr>
        <xdr:cNvPr id="36" name="Gráfico 1">
          <a:extLst>
            <a:ext uri="{FF2B5EF4-FFF2-40B4-BE49-F238E27FC236}">
              <a16:creationId xmlns:a16="http://schemas.microsoft.com/office/drawing/2014/main" id="{F495519F-02B9-47BF-92E6-C4D3BA78081B}"/>
            </a:ext>
            <a:ext uri="{147F2762-F138-4A5C-976F-8EAC2B608ADB}">
              <a16:predDERef xmlns:a16="http://schemas.microsoft.com/office/drawing/2014/main" pred="{243B3CFC-24D5-D955-53B9-A4FFD625A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19</xdr:col>
      <xdr:colOff>105763</xdr:colOff>
      <xdr:row>5</xdr:row>
      <xdr:rowOff>364147</xdr:rowOff>
    </xdr:from>
    <xdr:ext cx="1886020" cy="989355"/>
    <xdr:pic>
      <xdr:nvPicPr>
        <xdr:cNvPr id="6" name="Imagen 36">
          <a:extLst>
            <a:ext uri="{FF2B5EF4-FFF2-40B4-BE49-F238E27FC236}">
              <a16:creationId xmlns:a16="http://schemas.microsoft.com/office/drawing/2014/main" id="{AC2ABB18-2D50-4696-BE1F-1670D765A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22703" y="1644307"/>
          <a:ext cx="1886020" cy="989355"/>
        </a:xfrm>
        <a:prstGeom prst="rect">
          <a:avLst/>
        </a:prstGeom>
      </xdr:spPr>
    </xdr:pic>
    <xdr:clientData/>
  </xdr:oneCellAnchor>
  <xdr:oneCellAnchor>
    <xdr:from>
      <xdr:col>19</xdr:col>
      <xdr:colOff>77665</xdr:colOff>
      <xdr:row>4</xdr:row>
      <xdr:rowOff>170328</xdr:rowOff>
    </xdr:from>
    <xdr:ext cx="1870556" cy="916228"/>
    <xdr:pic>
      <xdr:nvPicPr>
        <xdr:cNvPr id="7" name="Imagen 227">
          <a:extLst>
            <a:ext uri="{FF2B5EF4-FFF2-40B4-BE49-F238E27FC236}">
              <a16:creationId xmlns:a16="http://schemas.microsoft.com/office/drawing/2014/main" id="{26A88611-AFF4-4691-9FFE-3025BA5FD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94605" y="901848"/>
          <a:ext cx="1870556" cy="916228"/>
        </a:xfrm>
        <a:prstGeom prst="rect">
          <a:avLst/>
        </a:prstGeom>
      </xdr:spPr>
    </xdr:pic>
    <xdr:clientData/>
  </xdr:oneCellAnchor>
  <xdr:twoCellAnchor editAs="oneCell">
    <xdr:from>
      <xdr:col>10</xdr:col>
      <xdr:colOff>845820</xdr:colOff>
      <xdr:row>13</xdr:row>
      <xdr:rowOff>45720</xdr:rowOff>
    </xdr:from>
    <xdr:to>
      <xdr:col>12</xdr:col>
      <xdr:colOff>351909</xdr:colOff>
      <xdr:row>16</xdr:row>
      <xdr:rowOff>15300</xdr:rowOff>
    </xdr:to>
    <xdr:pic>
      <xdr:nvPicPr>
        <xdr:cNvPr id="9" name="Imagen 1">
          <a:extLst>
            <a:ext uri="{FF2B5EF4-FFF2-40B4-BE49-F238E27FC236}">
              <a16:creationId xmlns:a16="http://schemas.microsoft.com/office/drawing/2014/main" id="{05918BE2-9585-4FF5-99A8-C3B891456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94420" y="3886200"/>
          <a:ext cx="1342509" cy="688400"/>
        </a:xfrm>
        <a:prstGeom prst="rect">
          <a:avLst/>
        </a:prstGeom>
      </xdr:spPr>
    </xdr:pic>
    <xdr:clientData/>
  </xdr:twoCellAnchor>
  <xdr:oneCellAnchor>
    <xdr:from>
      <xdr:col>21</xdr:col>
      <xdr:colOff>268654</xdr:colOff>
      <xdr:row>64</xdr:row>
      <xdr:rowOff>131884</xdr:rowOff>
    </xdr:from>
    <xdr:ext cx="783548" cy="436786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C9E6A24-BD18-47B6-88FB-5A9033BFC145}"/>
            </a:ext>
          </a:extLst>
        </xdr:cNvPr>
        <xdr:cNvSpPr txBox="1"/>
      </xdr:nvSpPr>
      <xdr:spPr>
        <a:xfrm>
          <a:off x="15455314" y="13482124"/>
          <a:ext cx="78354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bg1"/>
              </a:solidFill>
            </a:rPr>
            <a:t>XC: 0.29</a:t>
          </a:r>
        </a:p>
        <a:p>
          <a:r>
            <a:rPr lang="es-MX" sz="1100">
              <a:solidFill>
                <a:schemeClr val="bg1"/>
              </a:solidFill>
            </a:rPr>
            <a:t>X*:</a:t>
          </a:r>
          <a:r>
            <a:rPr lang="es-MX" sz="1100" baseline="0">
              <a:solidFill>
                <a:schemeClr val="bg1"/>
              </a:solidFill>
            </a:rPr>
            <a:t> 0.0042</a:t>
          </a:r>
          <a:endParaRPr lang="es-MX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19</xdr:col>
      <xdr:colOff>568699</xdr:colOff>
      <xdr:row>9</xdr:row>
      <xdr:rowOff>162485</xdr:rowOff>
    </xdr:from>
    <xdr:to>
      <xdr:col>30</xdr:col>
      <xdr:colOff>370782</xdr:colOff>
      <xdr:row>19</xdr:row>
      <xdr:rowOff>155835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BBFF16A-2B0B-42C9-AA19-88D692BAD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85639" y="2905685"/>
          <a:ext cx="8435543" cy="233269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37</xdr:row>
      <xdr:rowOff>0</xdr:rowOff>
    </xdr:from>
    <xdr:to>
      <xdr:col>22</xdr:col>
      <xdr:colOff>518384</xdr:colOff>
      <xdr:row>53</xdr:row>
      <xdr:rowOff>53788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CB2D15FE-B7C6-4567-9309-078437BB1824}"/>
            </a:ext>
            <a:ext uri="{147F2762-F138-4A5C-976F-8EAC2B608ADB}">
              <a16:predDERef xmlns:a16="http://schemas.microsoft.com/office/drawing/2014/main" pred="{243B3CFC-24D5-D955-53B9-A4FFD625A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0</xdr:colOff>
      <xdr:row>54</xdr:row>
      <xdr:rowOff>0</xdr:rowOff>
    </xdr:from>
    <xdr:to>
      <xdr:col>22</xdr:col>
      <xdr:colOff>518384</xdr:colOff>
      <xdr:row>70</xdr:row>
      <xdr:rowOff>53788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244CC71B-24EC-4725-AEBA-CB8EF3A5735C}"/>
            </a:ext>
            <a:ext uri="{147F2762-F138-4A5C-976F-8EAC2B608ADB}">
              <a16:predDERef xmlns:a16="http://schemas.microsoft.com/office/drawing/2014/main" pred="{243B3CFC-24D5-D955-53B9-A4FFD625A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uricio Sosa Garcia" id="{4874FDA2-9D13-4AC1-B99A-27F2C5919F9B}" userId="S::msosag2200@alumno.ipn.mx::8bb4cff2-3e55-4827-9654-a8f6bd9b6ea3" providerId="AD"/>
  <person displayName="Enrique Reyes Vazquez" id="{142AD113-E67E-4124-9BA8-872E4E606DC7}" userId="S::ereyesv1903@alumno.ipn.mx::1ab236e2-264c-4626-b05e-8d923959da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7" dT="2025-12-09T18:52:12.37" personId="{142AD113-E67E-4124-9BA8-872E4E606DC7}" id="{937B9DEB-CBCC-43B9-9A65-EE9FCAA6AB74}">
    <text>Se abrio la puerta</text>
  </threadedComment>
  <threadedComment ref="B27" dT="2025-12-09T22:46:50.36" personId="{4874FDA2-9D13-4AC1-B99A-27F2C5919F9B}" id="{E56723DD-6E9E-45AB-87DA-63B492FE52D3}" parentId="{937B9DEB-CBCC-43B9-9A65-EE9FCAA6AB74}">
    <text>Va</text>
  </threadedComment>
  <threadedComment ref="I46" dT="2025-12-09T22:21:30.96" personId="{4874FDA2-9D13-4AC1-B99A-27F2C5919F9B}" id="{2C3583E1-2F49-430A-8709-F3F856F0B669}">
    <text>No se asusten, asi de pendejo esta ese equipo de secado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7" dT="2025-12-09T18:52:12.37" personId="{142AD113-E67E-4124-9BA8-872E4E606DC7}" id="{FFBD9E09-9090-4BCF-B1C7-EB8D782A4F5E}">
    <text>Se abrio la puerta</text>
  </threadedComment>
  <threadedComment ref="B27" dT="2025-12-09T22:46:50.36" personId="{4874FDA2-9D13-4AC1-B99A-27F2C5919F9B}" id="{77579663-6B5C-49CA-8C19-E802443014E3}" parentId="{FFBD9E09-9090-4BCF-B1C7-EB8D782A4F5E}">
    <text>Va</text>
  </threadedComment>
  <threadedComment ref="I46" dT="2025-12-09T22:21:30.96" personId="{4874FDA2-9D13-4AC1-B99A-27F2C5919F9B}" id="{F27CEC7D-C433-49B1-AC5A-67313660BCDE}">
    <text>No se asusten, asi de pendejo esta ese equipo de secado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44" dT="2025-12-09T18:52:12.37" personId="{142AD113-E67E-4124-9BA8-872E4E606DC7}" id="{C0B65B6C-C9C1-4B1F-B1D6-481658663A47}">
    <text>Se abrio la puerta</text>
  </threadedComment>
  <threadedComment ref="C44" dT="2025-12-09T22:46:50.36" personId="{4874FDA2-9D13-4AC1-B99A-27F2C5919F9B}" id="{74941563-F86E-4DA4-8B6A-E3C263BC360C}" parentId="{C0B65B6C-C9C1-4B1F-B1D6-481658663A47}">
    <text>Va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7" dT="2025-12-09T18:52:12.37" personId="{142AD113-E67E-4124-9BA8-872E4E606DC7}" id="{756178BC-7650-43D9-A24B-068D9839DEF9}">
    <text>Se abrio la puerta</text>
  </threadedComment>
  <threadedComment ref="C27" dT="2025-12-09T22:46:50.36" personId="{4874FDA2-9D13-4AC1-B99A-27F2C5919F9B}" id="{108F7830-DC82-4B20-97A4-E11898575E1C}" parentId="{756178BC-7650-43D9-A24B-068D9839DEF9}">
    <text>Va</text>
  </threadedComment>
  <threadedComment ref="J46" dT="2025-12-09T22:21:30.96" personId="{4874FDA2-9D13-4AC1-B99A-27F2C5919F9B}" id="{3B5731B3-0F58-4C55-8B91-8D0C6447AA6F}">
    <text>No se asusten, asi de pendejo esta ese equipo de secado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7B46-433E-4507-B8B9-676B86A1A187}">
  <dimension ref="A1:O62"/>
  <sheetViews>
    <sheetView tabSelected="1" zoomScale="85" zoomScaleNormal="85" workbookViewId="0">
      <pane ySplit="1" topLeftCell="A2" activePane="bottomLeft" state="frozen"/>
      <selection pane="bottomLeft" activeCell="J12" sqref="J12"/>
    </sheetView>
  </sheetViews>
  <sheetFormatPr baseColWidth="10" defaultColWidth="10.6640625" defaultRowHeight="14.4" x14ac:dyDescent="0.3"/>
  <cols>
    <col min="2" max="2" width="10.6640625" style="8"/>
    <col min="5" max="8" width="16.33203125" customWidth="1"/>
    <col min="9" max="9" width="36.44140625" customWidth="1"/>
  </cols>
  <sheetData>
    <row r="1" spans="1:15" x14ac:dyDescent="0.3">
      <c r="A1" s="9" t="s">
        <v>0</v>
      </c>
      <c r="B1" s="6" t="s">
        <v>1</v>
      </c>
      <c r="C1" s="10" t="s">
        <v>2</v>
      </c>
      <c r="D1" s="10" t="s">
        <v>3</v>
      </c>
      <c r="E1" s="36" t="s">
        <v>4</v>
      </c>
      <c r="F1" s="36"/>
      <c r="G1" s="37" t="s">
        <v>5</v>
      </c>
      <c r="H1" s="37"/>
    </row>
    <row r="2" spans="1:15" x14ac:dyDescent="0.3">
      <c r="A2" s="9"/>
      <c r="B2" s="6"/>
      <c r="C2" s="10"/>
      <c r="D2" s="10"/>
      <c r="E2" s="4" t="s">
        <v>6</v>
      </c>
      <c r="F2" s="4" t="s">
        <v>7</v>
      </c>
      <c r="G2" s="5" t="s">
        <v>6</v>
      </c>
      <c r="H2" s="5" t="s">
        <v>7</v>
      </c>
    </row>
    <row r="5" spans="1:15" x14ac:dyDescent="0.3">
      <c r="O5" t="s">
        <v>8</v>
      </c>
    </row>
    <row r="6" spans="1:15" x14ac:dyDescent="0.3">
      <c r="A6" s="38" t="s">
        <v>0</v>
      </c>
      <c r="B6" s="39" t="s">
        <v>1</v>
      </c>
      <c r="C6" s="39" t="s">
        <v>2</v>
      </c>
      <c r="D6" s="39" t="s">
        <v>3</v>
      </c>
      <c r="E6" s="36" t="s">
        <v>4</v>
      </c>
      <c r="F6" s="36"/>
      <c r="G6" s="37" t="s">
        <v>5</v>
      </c>
      <c r="H6" s="37"/>
      <c r="I6" s="35" t="s">
        <v>9</v>
      </c>
      <c r="O6" t="s">
        <v>10</v>
      </c>
    </row>
    <row r="7" spans="1:15" x14ac:dyDescent="0.3">
      <c r="A7" s="38"/>
      <c r="B7" s="39"/>
      <c r="C7" s="39"/>
      <c r="D7" s="39"/>
      <c r="E7" s="4" t="s">
        <v>6</v>
      </c>
      <c r="F7" s="4" t="s">
        <v>7</v>
      </c>
      <c r="G7" s="5" t="s">
        <v>6</v>
      </c>
      <c r="H7" s="5" t="s">
        <v>7</v>
      </c>
      <c r="I7" s="35"/>
    </row>
    <row r="8" spans="1:15" x14ac:dyDescent="0.3">
      <c r="A8">
        <v>0</v>
      </c>
      <c r="B8" s="2">
        <v>0.40277777777777779</v>
      </c>
      <c r="C8" s="1">
        <v>1183</v>
      </c>
      <c r="D8" s="1">
        <v>1.3</v>
      </c>
      <c r="E8" s="1">
        <v>25.9</v>
      </c>
      <c r="F8" s="3">
        <v>0.45</v>
      </c>
      <c r="G8" s="1">
        <v>20.3</v>
      </c>
      <c r="H8" s="3">
        <v>0.60199999999999998</v>
      </c>
      <c r="I8" s="7">
        <v>0.63</v>
      </c>
    </row>
    <row r="9" spans="1:15" x14ac:dyDescent="0.3">
      <c r="A9">
        <v>10</v>
      </c>
      <c r="B9" s="2">
        <v>0.40972222222222221</v>
      </c>
      <c r="C9" s="1">
        <v>1164.2</v>
      </c>
      <c r="D9" s="1">
        <v>1.35</v>
      </c>
      <c r="E9" s="1">
        <v>21.22</v>
      </c>
      <c r="F9" s="3">
        <v>0.56399999999999995</v>
      </c>
      <c r="G9" s="1">
        <v>19.8</v>
      </c>
      <c r="H9" s="3">
        <v>0.622</v>
      </c>
    </row>
    <row r="10" spans="1:15" x14ac:dyDescent="0.3">
      <c r="A10">
        <v>20</v>
      </c>
      <c r="B10" s="2">
        <v>0.41666666666666702</v>
      </c>
      <c r="C10" s="1">
        <v>1159.4000000000001</v>
      </c>
      <c r="D10" s="1">
        <v>1.32</v>
      </c>
      <c r="E10" s="1">
        <v>20.8</v>
      </c>
      <c r="F10" s="3">
        <v>0.57899999999999996</v>
      </c>
      <c r="G10" s="1">
        <v>19.399999999999999</v>
      </c>
      <c r="H10" s="3">
        <v>0.627</v>
      </c>
    </row>
    <row r="11" spans="1:15" x14ac:dyDescent="0.3">
      <c r="A11">
        <v>30</v>
      </c>
      <c r="B11" s="2">
        <v>0.42361111111111099</v>
      </c>
      <c r="C11" s="1">
        <v>1154.8</v>
      </c>
      <c r="D11" s="1">
        <v>1.25</v>
      </c>
      <c r="E11" s="1">
        <v>20.8</v>
      </c>
      <c r="F11" s="3">
        <v>0.58299999999999996</v>
      </c>
      <c r="G11" s="1">
        <v>19.2</v>
      </c>
      <c r="H11" s="3">
        <v>0.621</v>
      </c>
    </row>
    <row r="12" spans="1:15" x14ac:dyDescent="0.3">
      <c r="A12">
        <v>40</v>
      </c>
      <c r="B12" s="2">
        <v>0.43055555555555503</v>
      </c>
      <c r="C12" s="1">
        <v>1146.2</v>
      </c>
      <c r="D12" s="1">
        <v>1.26</v>
      </c>
      <c r="E12" s="1">
        <v>21.1</v>
      </c>
      <c r="F12" s="3">
        <v>0.57999999999999996</v>
      </c>
      <c r="G12" s="1">
        <v>20.100000000000001</v>
      </c>
      <c r="H12" s="3">
        <v>0.622</v>
      </c>
    </row>
    <row r="13" spans="1:15" x14ac:dyDescent="0.3">
      <c r="A13">
        <v>50</v>
      </c>
      <c r="B13" s="2">
        <v>0.4375</v>
      </c>
      <c r="C13" s="1">
        <v>1139.3</v>
      </c>
      <c r="D13" s="1">
        <v>1.25</v>
      </c>
      <c r="E13" s="1">
        <v>21.4</v>
      </c>
      <c r="F13" s="3">
        <v>0.57399999999999995</v>
      </c>
      <c r="G13" s="1">
        <v>20.399999999999999</v>
      </c>
      <c r="H13" s="3">
        <v>0.61199999999999999</v>
      </c>
    </row>
    <row r="14" spans="1:15" x14ac:dyDescent="0.3">
      <c r="A14">
        <v>60</v>
      </c>
      <c r="B14" s="2">
        <v>0.44444444444444398</v>
      </c>
      <c r="C14" s="1">
        <v>1129.2</v>
      </c>
      <c r="D14" s="1">
        <v>1.21</v>
      </c>
      <c r="E14" s="1">
        <v>21.8</v>
      </c>
      <c r="F14" s="3">
        <v>0.56699999999999995</v>
      </c>
      <c r="G14" s="1">
        <v>20.7</v>
      </c>
      <c r="H14" s="3">
        <v>0.60699999999999998</v>
      </c>
    </row>
    <row r="15" spans="1:15" x14ac:dyDescent="0.3">
      <c r="A15">
        <v>70</v>
      </c>
      <c r="B15" s="2">
        <v>0.45138888888888901</v>
      </c>
      <c r="C15" s="1">
        <v>1122.4000000000001</v>
      </c>
      <c r="D15" s="1">
        <v>1.21</v>
      </c>
      <c r="E15" s="1">
        <v>22.1</v>
      </c>
      <c r="F15" s="3">
        <v>0.56200000000000006</v>
      </c>
      <c r="G15" s="1">
        <v>20.9</v>
      </c>
      <c r="H15" s="3">
        <v>0.60299999999999998</v>
      </c>
    </row>
    <row r="16" spans="1:15" x14ac:dyDescent="0.3">
      <c r="A16">
        <v>80</v>
      </c>
      <c r="B16" s="2">
        <v>0.45833333333333298</v>
      </c>
      <c r="C16" s="1">
        <v>1115</v>
      </c>
      <c r="D16" s="1">
        <v>1.2</v>
      </c>
      <c r="E16" s="1">
        <v>22.3</v>
      </c>
      <c r="F16" s="3">
        <v>0.55900000000000005</v>
      </c>
      <c r="G16" s="1">
        <v>21.2</v>
      </c>
      <c r="H16" s="3">
        <v>0.59699999999999998</v>
      </c>
    </row>
    <row r="17" spans="1:9" x14ac:dyDescent="0.3">
      <c r="A17">
        <v>90</v>
      </c>
      <c r="B17" s="2">
        <v>0.46527777777777801</v>
      </c>
      <c r="C17" s="1">
        <v>1106.3</v>
      </c>
      <c r="D17" s="1">
        <v>1.2</v>
      </c>
      <c r="E17" s="1">
        <v>22.6</v>
      </c>
      <c r="F17" s="3">
        <v>0.55900000000000005</v>
      </c>
      <c r="G17" s="1">
        <v>13.3</v>
      </c>
      <c r="H17" s="3">
        <v>0.59499999999999997</v>
      </c>
    </row>
    <row r="18" spans="1:9" x14ac:dyDescent="0.3">
      <c r="A18">
        <v>100</v>
      </c>
      <c r="B18" s="2">
        <v>0.47222222222222199</v>
      </c>
      <c r="C18" s="1">
        <v>1097.2</v>
      </c>
      <c r="D18" s="1">
        <v>1.2</v>
      </c>
      <c r="E18" s="1">
        <v>22.7</v>
      </c>
      <c r="F18" s="3">
        <v>0.55400000000000005</v>
      </c>
      <c r="G18" s="1">
        <v>13.1</v>
      </c>
      <c r="H18" s="3">
        <v>0.59299999999999997</v>
      </c>
    </row>
    <row r="19" spans="1:9" x14ac:dyDescent="0.3">
      <c r="A19">
        <v>110</v>
      </c>
      <c r="B19" s="2">
        <v>0.47916666666666602</v>
      </c>
      <c r="C19" s="1">
        <v>1090.5</v>
      </c>
      <c r="D19" s="1">
        <v>1.2</v>
      </c>
      <c r="E19" s="1">
        <v>22.7</v>
      </c>
      <c r="F19" s="3">
        <v>0.55400000000000005</v>
      </c>
      <c r="G19" s="1">
        <v>21.6</v>
      </c>
      <c r="H19" s="3">
        <v>0.59099999999999997</v>
      </c>
    </row>
    <row r="20" spans="1:9" x14ac:dyDescent="0.3">
      <c r="A20">
        <v>120</v>
      </c>
      <c r="B20" s="2">
        <v>0.48611111111111099</v>
      </c>
      <c r="C20" s="1">
        <v>1083.3</v>
      </c>
      <c r="D20" s="1">
        <v>1.2</v>
      </c>
      <c r="E20" s="1">
        <v>23</v>
      </c>
      <c r="F20" s="3">
        <v>0.54300000000000004</v>
      </c>
      <c r="G20" s="1">
        <v>13.1</v>
      </c>
      <c r="H20" s="3">
        <v>0.57899999999999996</v>
      </c>
    </row>
    <row r="21" spans="1:9" x14ac:dyDescent="0.3">
      <c r="A21">
        <v>130</v>
      </c>
      <c r="B21" s="2">
        <v>0.49305555555555503</v>
      </c>
      <c r="C21" s="1">
        <v>1075.7</v>
      </c>
      <c r="D21" s="1">
        <v>1.07</v>
      </c>
      <c r="E21" s="1">
        <v>23.1</v>
      </c>
      <c r="F21" s="3">
        <v>0.54200000000000004</v>
      </c>
      <c r="G21" s="1">
        <v>13.2</v>
      </c>
      <c r="H21" s="3">
        <v>0.58199999999999996</v>
      </c>
    </row>
    <row r="22" spans="1:9" x14ac:dyDescent="0.3">
      <c r="A22">
        <v>140</v>
      </c>
      <c r="B22" s="2">
        <v>0.5</v>
      </c>
      <c r="C22" s="1">
        <v>1069</v>
      </c>
      <c r="D22" s="1">
        <v>1.1000000000000001</v>
      </c>
      <c r="E22" s="1">
        <v>23.2</v>
      </c>
      <c r="F22" s="3">
        <v>0.54100000000000004</v>
      </c>
      <c r="G22" s="1">
        <v>22</v>
      </c>
      <c r="H22" s="3">
        <v>0.57899999999999996</v>
      </c>
    </row>
    <row r="23" spans="1:9" x14ac:dyDescent="0.3">
      <c r="A23">
        <v>150</v>
      </c>
      <c r="B23" s="2">
        <v>0.50694444444444398</v>
      </c>
      <c r="C23" s="1">
        <v>1062.3</v>
      </c>
      <c r="D23" s="1">
        <v>1</v>
      </c>
      <c r="E23" s="1">
        <v>23.3</v>
      </c>
      <c r="F23" s="3">
        <v>0.54400000000000004</v>
      </c>
      <c r="G23" s="1">
        <v>22.1</v>
      </c>
      <c r="H23" s="3">
        <v>0.57899999999999996</v>
      </c>
    </row>
    <row r="24" spans="1:9" x14ac:dyDescent="0.3">
      <c r="A24">
        <v>160</v>
      </c>
      <c r="B24" s="2">
        <v>0.51388888888888895</v>
      </c>
      <c r="C24" s="1">
        <v>1054.9000000000001</v>
      </c>
      <c r="D24" s="1">
        <v>1</v>
      </c>
      <c r="E24" s="1">
        <v>23.4</v>
      </c>
      <c r="F24" s="3">
        <v>0.54</v>
      </c>
      <c r="G24" s="1">
        <v>22.2</v>
      </c>
      <c r="H24" s="3">
        <v>0.57199999999999995</v>
      </c>
    </row>
    <row r="25" spans="1:9" x14ac:dyDescent="0.3">
      <c r="A25">
        <v>170</v>
      </c>
      <c r="B25" s="2">
        <v>0.52083333333333304</v>
      </c>
      <c r="C25" s="1">
        <v>1050.0999999999999</v>
      </c>
      <c r="D25" s="1">
        <v>0.9</v>
      </c>
      <c r="E25" s="1">
        <v>23.6</v>
      </c>
      <c r="F25" s="3">
        <v>0.53200000000000003</v>
      </c>
      <c r="G25" s="1">
        <v>22.2</v>
      </c>
      <c r="H25" s="3">
        <v>0.56999999999999995</v>
      </c>
    </row>
    <row r="26" spans="1:9" x14ac:dyDescent="0.3">
      <c r="A26">
        <v>180</v>
      </c>
      <c r="B26" s="2">
        <v>0.52777777777777801</v>
      </c>
      <c r="C26" s="1">
        <v>1041</v>
      </c>
      <c r="D26" s="1">
        <v>1.1000000000000001</v>
      </c>
      <c r="E26" s="1">
        <v>23.8</v>
      </c>
      <c r="F26" s="3">
        <v>0.53500000000000003</v>
      </c>
      <c r="G26" s="1">
        <v>22.5</v>
      </c>
      <c r="H26" s="3">
        <v>0.56999999999999995</v>
      </c>
    </row>
    <row r="27" spans="1:9" x14ac:dyDescent="0.3">
      <c r="A27">
        <v>190</v>
      </c>
      <c r="B27" s="2">
        <v>0.53472222222222199</v>
      </c>
      <c r="C27" s="1">
        <v>1035.5999999999999</v>
      </c>
      <c r="D27" s="1">
        <v>1.1000000000000001</v>
      </c>
      <c r="E27" s="1">
        <v>23.7</v>
      </c>
      <c r="F27" s="3">
        <v>0.53800000000000003</v>
      </c>
      <c r="G27" s="1">
        <v>13.7</v>
      </c>
      <c r="H27" s="3">
        <v>0.57199999999999995</v>
      </c>
      <c r="I27" t="s">
        <v>11</v>
      </c>
    </row>
    <row r="28" spans="1:9" x14ac:dyDescent="0.3">
      <c r="A28">
        <v>200</v>
      </c>
      <c r="B28" s="2">
        <v>0.54166666666666596</v>
      </c>
      <c r="C28" s="1">
        <v>1029.5</v>
      </c>
      <c r="D28" s="1">
        <v>1.1000000000000001</v>
      </c>
      <c r="E28" s="1">
        <v>24</v>
      </c>
      <c r="F28" s="3">
        <v>0.53100000000000003</v>
      </c>
      <c r="G28" s="1">
        <v>22.6</v>
      </c>
      <c r="H28" s="3">
        <v>0.56999999999999995</v>
      </c>
      <c r="I28" t="s">
        <v>12</v>
      </c>
    </row>
    <row r="29" spans="1:9" x14ac:dyDescent="0.3">
      <c r="A29">
        <v>210</v>
      </c>
      <c r="B29" s="2">
        <v>0.54861111111111105</v>
      </c>
      <c r="C29" s="1">
        <v>1023</v>
      </c>
      <c r="D29" s="1">
        <v>1.1000000000000001</v>
      </c>
      <c r="E29" s="1">
        <v>24</v>
      </c>
      <c r="F29" s="3">
        <v>0.53400000000000003</v>
      </c>
      <c r="G29" s="1">
        <v>22.6</v>
      </c>
      <c r="H29" s="3">
        <v>0.56899999999999995</v>
      </c>
    </row>
    <row r="30" spans="1:9" x14ac:dyDescent="0.3">
      <c r="A30">
        <v>220</v>
      </c>
      <c r="B30" s="2">
        <v>0.55555555555555503</v>
      </c>
      <c r="C30" s="1">
        <v>1016.3</v>
      </c>
      <c r="D30" s="1">
        <v>1.1000000000000001</v>
      </c>
      <c r="E30" s="1">
        <v>24.1</v>
      </c>
      <c r="F30" s="3">
        <v>0.52300000000000002</v>
      </c>
      <c r="G30" s="1">
        <v>22.7</v>
      </c>
      <c r="H30" s="3">
        <v>0.55800000000000005</v>
      </c>
    </row>
    <row r="31" spans="1:9" x14ac:dyDescent="0.3">
      <c r="A31">
        <v>230</v>
      </c>
      <c r="B31" s="2">
        <v>0.5625</v>
      </c>
      <c r="C31" s="1">
        <v>1011</v>
      </c>
      <c r="D31" s="1">
        <v>1.1000000000000001</v>
      </c>
      <c r="E31" s="1">
        <v>24.1</v>
      </c>
      <c r="F31" s="3">
        <v>0.52300000000000002</v>
      </c>
      <c r="G31" s="1">
        <v>22.8</v>
      </c>
      <c r="H31" s="3">
        <v>0.55700000000000005</v>
      </c>
    </row>
    <row r="32" spans="1:9" x14ac:dyDescent="0.3">
      <c r="A32">
        <v>240</v>
      </c>
      <c r="B32" s="2">
        <v>0.56944444444444398</v>
      </c>
      <c r="C32" s="1">
        <v>1004</v>
      </c>
      <c r="D32" s="1">
        <v>1.1000000000000001</v>
      </c>
      <c r="E32" s="1">
        <v>24.3</v>
      </c>
      <c r="F32" s="3">
        <v>0.51800000000000002</v>
      </c>
      <c r="G32" s="1">
        <v>22.9</v>
      </c>
      <c r="H32" s="3">
        <v>0.55200000000000005</v>
      </c>
    </row>
    <row r="33" spans="1:9" x14ac:dyDescent="0.3">
      <c r="A33">
        <v>250</v>
      </c>
      <c r="B33" s="2">
        <v>0.57638888888888795</v>
      </c>
      <c r="C33" s="1">
        <v>1000</v>
      </c>
      <c r="D33" s="1">
        <v>1.1000000000000001</v>
      </c>
      <c r="E33" s="1">
        <v>24.2</v>
      </c>
      <c r="F33" s="3">
        <v>0.51900000000000002</v>
      </c>
      <c r="G33" s="1">
        <v>22.8</v>
      </c>
      <c r="H33" s="3">
        <v>0.55400000000000005</v>
      </c>
    </row>
    <row r="34" spans="1:9" x14ac:dyDescent="0.3">
      <c r="A34">
        <v>260</v>
      </c>
      <c r="B34" s="2">
        <v>0.58333333333333304</v>
      </c>
      <c r="C34" s="1">
        <v>995</v>
      </c>
      <c r="D34" s="1">
        <v>1.1000000000000001</v>
      </c>
      <c r="E34" s="1">
        <v>24.2</v>
      </c>
      <c r="F34" s="3">
        <v>0.52</v>
      </c>
      <c r="G34" s="1">
        <v>22.9</v>
      </c>
      <c r="H34" s="3">
        <v>0.55300000000000005</v>
      </c>
    </row>
    <row r="35" spans="1:9" x14ac:dyDescent="0.3">
      <c r="A35">
        <v>270</v>
      </c>
      <c r="B35" s="2">
        <v>0.59027777777777701</v>
      </c>
      <c r="C35" s="1">
        <v>990</v>
      </c>
      <c r="D35" s="1">
        <v>1.1000000000000001</v>
      </c>
      <c r="E35" s="1">
        <v>24.5</v>
      </c>
      <c r="F35" s="3">
        <v>0.50800000000000001</v>
      </c>
      <c r="G35" s="1">
        <v>23.1</v>
      </c>
      <c r="H35" s="3">
        <v>0.54100000000000004</v>
      </c>
    </row>
    <row r="36" spans="1:9" x14ac:dyDescent="0.3">
      <c r="A36">
        <v>280</v>
      </c>
      <c r="B36" s="2">
        <v>0.59722222222222199</v>
      </c>
      <c r="C36" s="1">
        <v>984</v>
      </c>
      <c r="D36" s="1">
        <v>1.1000000000000001</v>
      </c>
      <c r="E36" s="1">
        <v>24.6</v>
      </c>
      <c r="F36" s="3">
        <v>0.5</v>
      </c>
      <c r="G36" s="1">
        <v>23.1</v>
      </c>
      <c r="H36" s="3">
        <v>0.53600000000000003</v>
      </c>
    </row>
    <row r="37" spans="1:9" x14ac:dyDescent="0.3">
      <c r="A37">
        <v>290</v>
      </c>
      <c r="B37" s="2">
        <v>0.60416666666666596</v>
      </c>
      <c r="C37" s="1">
        <v>980</v>
      </c>
      <c r="D37" s="1">
        <v>1.1000000000000001</v>
      </c>
      <c r="E37" s="1">
        <v>24.6</v>
      </c>
      <c r="F37" s="3">
        <v>0.502</v>
      </c>
      <c r="G37" s="1">
        <v>23.3</v>
      </c>
      <c r="H37" s="3">
        <v>0.53200000000000003</v>
      </c>
    </row>
    <row r="38" spans="1:9" x14ac:dyDescent="0.3">
      <c r="A38">
        <v>300</v>
      </c>
      <c r="B38" s="2">
        <v>0.61111111111111105</v>
      </c>
      <c r="C38" s="1">
        <v>973</v>
      </c>
      <c r="D38" s="1">
        <v>1.2</v>
      </c>
      <c r="E38" s="1">
        <v>24.8</v>
      </c>
      <c r="F38" s="3">
        <v>0.501</v>
      </c>
      <c r="G38" s="1">
        <v>23.3</v>
      </c>
      <c r="H38" s="3">
        <v>0.53500000000000003</v>
      </c>
    </row>
    <row r="39" spans="1:9" x14ac:dyDescent="0.3">
      <c r="A39">
        <v>310</v>
      </c>
      <c r="B39" s="2">
        <v>0.61805555555555558</v>
      </c>
      <c r="C39" s="1">
        <v>970</v>
      </c>
      <c r="D39" s="1">
        <v>1.2</v>
      </c>
      <c r="E39" s="1">
        <v>24.7</v>
      </c>
      <c r="F39" s="3">
        <v>0.503</v>
      </c>
      <c r="G39" s="1">
        <v>23.3</v>
      </c>
      <c r="H39" s="3">
        <v>0.53300000000000003</v>
      </c>
    </row>
    <row r="40" spans="1:9" x14ac:dyDescent="0.3">
      <c r="A40">
        <v>320</v>
      </c>
      <c r="B40" s="2">
        <v>0.625</v>
      </c>
      <c r="C40" s="1">
        <v>964</v>
      </c>
      <c r="D40" s="1">
        <v>1.3</v>
      </c>
      <c r="E40" s="1">
        <v>24.8</v>
      </c>
      <c r="F40" s="3">
        <v>0.5</v>
      </c>
      <c r="G40" s="1">
        <v>23.4</v>
      </c>
      <c r="H40" s="3">
        <v>0.53400000000000003</v>
      </c>
    </row>
    <row r="41" spans="1:9" x14ac:dyDescent="0.3">
      <c r="A41">
        <v>330</v>
      </c>
      <c r="B41" s="2">
        <v>0.63194444444444442</v>
      </c>
      <c r="C41" s="1">
        <v>960</v>
      </c>
      <c r="D41" s="1">
        <v>1.3</v>
      </c>
      <c r="E41" s="1">
        <v>24.8</v>
      </c>
      <c r="F41" s="3">
        <v>0.504</v>
      </c>
      <c r="G41" s="1">
        <v>23.3</v>
      </c>
      <c r="H41" s="3">
        <v>0.53600000000000003</v>
      </c>
    </row>
    <row r="42" spans="1:9" x14ac:dyDescent="0.3">
      <c r="A42">
        <v>340</v>
      </c>
      <c r="B42" s="2">
        <v>0.63888888888888884</v>
      </c>
      <c r="C42" s="1">
        <v>955</v>
      </c>
      <c r="D42" s="1">
        <v>1.4</v>
      </c>
      <c r="E42" s="1">
        <v>24.9</v>
      </c>
      <c r="F42" s="3">
        <v>0.505</v>
      </c>
      <c r="G42" s="1">
        <v>23.5</v>
      </c>
      <c r="H42" s="3">
        <v>0.53500000000000003</v>
      </c>
    </row>
    <row r="43" spans="1:9" x14ac:dyDescent="0.3">
      <c r="A43">
        <v>350</v>
      </c>
      <c r="B43" s="2">
        <v>0.64583333333333337</v>
      </c>
      <c r="C43" s="1">
        <v>950</v>
      </c>
      <c r="D43" s="1">
        <v>1.3</v>
      </c>
      <c r="E43" s="1">
        <v>24.9</v>
      </c>
      <c r="F43" s="3">
        <v>0.50600000000000001</v>
      </c>
      <c r="G43" s="1">
        <v>23.5</v>
      </c>
      <c r="H43" s="3">
        <v>0.53500000000000003</v>
      </c>
    </row>
    <row r="44" spans="1:9" x14ac:dyDescent="0.3">
      <c r="A44">
        <v>360</v>
      </c>
      <c r="B44" s="2">
        <v>0.65277777777777779</v>
      </c>
      <c r="C44" s="1">
        <v>946</v>
      </c>
      <c r="D44" s="1">
        <v>1.3</v>
      </c>
      <c r="E44" s="1">
        <v>25</v>
      </c>
      <c r="F44" s="3">
        <v>0.49399999999999999</v>
      </c>
      <c r="G44" s="1">
        <v>23.6</v>
      </c>
      <c r="H44" s="3">
        <v>0.52500000000000002</v>
      </c>
    </row>
    <row r="45" spans="1:9" x14ac:dyDescent="0.3">
      <c r="A45">
        <v>370</v>
      </c>
      <c r="B45" s="2">
        <v>0.65972222222222221</v>
      </c>
      <c r="C45" s="1">
        <v>943</v>
      </c>
      <c r="D45" s="1">
        <v>1.3</v>
      </c>
      <c r="E45" s="1">
        <v>24.9</v>
      </c>
      <c r="F45" s="3">
        <v>0.49399999999999999</v>
      </c>
      <c r="G45" s="1">
        <v>23.5</v>
      </c>
      <c r="H45" s="3">
        <v>0.52400000000000002</v>
      </c>
    </row>
    <row r="46" spans="1:9" x14ac:dyDescent="0.3">
      <c r="A46">
        <v>380</v>
      </c>
      <c r="B46" s="2">
        <v>0.66666666666666663</v>
      </c>
      <c r="C46" s="1">
        <v>937.9</v>
      </c>
      <c r="D46" s="1">
        <v>1.3</v>
      </c>
      <c r="E46" s="1">
        <v>24.8</v>
      </c>
      <c r="F46" s="3">
        <v>0.497</v>
      </c>
      <c r="G46" s="1">
        <v>23.5</v>
      </c>
      <c r="H46" s="3">
        <v>0.52800000000000002</v>
      </c>
      <c r="I46" t="s">
        <v>13</v>
      </c>
    </row>
    <row r="47" spans="1:9" x14ac:dyDescent="0.3">
      <c r="A47">
        <v>390</v>
      </c>
      <c r="B47" s="2">
        <v>0.67361111111111116</v>
      </c>
      <c r="C47" s="1">
        <v>933.4</v>
      </c>
      <c r="D47" s="1">
        <v>1.3</v>
      </c>
      <c r="E47" s="1">
        <v>24.9</v>
      </c>
      <c r="F47" s="3">
        <v>0.48799999999999999</v>
      </c>
      <c r="G47" s="1">
        <v>23.8</v>
      </c>
      <c r="H47" s="3">
        <v>0.51700000000000002</v>
      </c>
    </row>
    <row r="48" spans="1:9" x14ac:dyDescent="0.3">
      <c r="A48">
        <v>400</v>
      </c>
      <c r="B48" s="2">
        <v>0.68055555555555558</v>
      </c>
      <c r="C48" s="1">
        <v>933.4</v>
      </c>
      <c r="D48" s="1">
        <v>1.2</v>
      </c>
      <c r="E48" s="1">
        <v>24.9</v>
      </c>
      <c r="F48" s="3">
        <v>0.48799999999999999</v>
      </c>
      <c r="G48" s="1">
        <v>23.4</v>
      </c>
      <c r="H48" s="3">
        <v>0.52300000000000002</v>
      </c>
    </row>
    <row r="49" spans="1:8" x14ac:dyDescent="0.3">
      <c r="A49">
        <v>410</v>
      </c>
      <c r="B49" s="11">
        <v>0.6875</v>
      </c>
      <c r="C49" s="1">
        <v>924.6</v>
      </c>
      <c r="D49" s="1">
        <v>1.29</v>
      </c>
      <c r="E49" s="1">
        <v>24.7</v>
      </c>
      <c r="F49" s="3">
        <v>0.48599999999999999</v>
      </c>
      <c r="G49" s="1">
        <v>24.7</v>
      </c>
      <c r="H49" s="3">
        <v>0.48399999999999999</v>
      </c>
    </row>
    <row r="50" spans="1:8" x14ac:dyDescent="0.3">
      <c r="A50">
        <v>420</v>
      </c>
      <c r="B50" s="11">
        <v>0.69444444444444442</v>
      </c>
      <c r="C50" s="1">
        <v>923.5</v>
      </c>
      <c r="D50" s="1">
        <v>1.31</v>
      </c>
      <c r="E50" s="1">
        <v>24.6</v>
      </c>
      <c r="F50" s="3">
        <v>0.48799999999999999</v>
      </c>
      <c r="G50" s="1">
        <v>24.6</v>
      </c>
      <c r="H50" s="3">
        <v>0.49</v>
      </c>
    </row>
    <row r="51" spans="1:8" x14ac:dyDescent="0.3">
      <c r="A51">
        <v>430</v>
      </c>
      <c r="B51" s="11">
        <v>0.70138888888888884</v>
      </c>
      <c r="C51" s="1">
        <v>919</v>
      </c>
      <c r="D51" s="1">
        <v>1.29</v>
      </c>
      <c r="E51" s="1">
        <v>24.6</v>
      </c>
      <c r="F51" s="3">
        <v>0.48599999999999999</v>
      </c>
      <c r="G51" s="1">
        <v>24.6</v>
      </c>
      <c r="H51" s="3">
        <v>0.48899999999999999</v>
      </c>
    </row>
    <row r="52" spans="1:8" x14ac:dyDescent="0.3">
      <c r="A52">
        <v>440</v>
      </c>
      <c r="B52" s="11">
        <v>0.70833333333333337</v>
      </c>
      <c r="C52" s="1">
        <v>915.1</v>
      </c>
      <c r="D52" s="1">
        <v>1.32</v>
      </c>
      <c r="E52" s="1">
        <v>24.4</v>
      </c>
      <c r="F52" s="3">
        <v>0.497</v>
      </c>
      <c r="G52" s="1">
        <v>24.4</v>
      </c>
      <c r="H52" s="3">
        <v>0.499</v>
      </c>
    </row>
    <row r="53" spans="1:8" x14ac:dyDescent="0.3">
      <c r="A53">
        <v>450</v>
      </c>
      <c r="B53" s="11">
        <v>0.71527777777777779</v>
      </c>
      <c r="C53" s="1">
        <v>911</v>
      </c>
      <c r="D53" s="1">
        <v>1.32</v>
      </c>
      <c r="E53" s="1">
        <v>24.3</v>
      </c>
      <c r="F53" s="3">
        <v>0.505</v>
      </c>
      <c r="G53" s="1">
        <v>24.3</v>
      </c>
      <c r="H53" s="3">
        <v>0.51100000000000001</v>
      </c>
    </row>
    <row r="54" spans="1:8" x14ac:dyDescent="0.3">
      <c r="A54">
        <v>460</v>
      </c>
      <c r="B54" s="11">
        <v>0.72222222222222221</v>
      </c>
      <c r="C54" s="1">
        <v>909.3</v>
      </c>
      <c r="D54" s="1">
        <v>1.35</v>
      </c>
      <c r="E54" s="1">
        <v>24.1</v>
      </c>
      <c r="F54" s="3">
        <v>0.51200000000000001</v>
      </c>
      <c r="G54" s="1">
        <v>24.1</v>
      </c>
      <c r="H54" s="3">
        <v>0.51300000000000001</v>
      </c>
    </row>
    <row r="55" spans="1:8" x14ac:dyDescent="0.3">
      <c r="A55">
        <v>470</v>
      </c>
      <c r="B55" s="11">
        <v>0.72916666666666663</v>
      </c>
      <c r="C55" s="1">
        <v>906.5</v>
      </c>
      <c r="D55" s="1">
        <v>1.35</v>
      </c>
      <c r="E55" s="1">
        <v>24.1</v>
      </c>
      <c r="F55" s="3">
        <v>0.51700000000000002</v>
      </c>
      <c r="G55" s="1">
        <v>24.1</v>
      </c>
      <c r="H55" s="3">
        <v>0.51900000000000002</v>
      </c>
    </row>
    <row r="56" spans="1:8" x14ac:dyDescent="0.3">
      <c r="A56">
        <v>480</v>
      </c>
      <c r="B56" s="11">
        <v>0.73611111111111116</v>
      </c>
      <c r="C56" s="1">
        <v>904</v>
      </c>
      <c r="D56" s="1">
        <v>1.34</v>
      </c>
      <c r="E56" s="1">
        <v>24</v>
      </c>
      <c r="F56" s="3">
        <v>0.52900000000000003</v>
      </c>
      <c r="G56" s="1">
        <v>23.9</v>
      </c>
      <c r="H56" s="3">
        <v>0.53200000000000003</v>
      </c>
    </row>
    <row r="57" spans="1:8" x14ac:dyDescent="0.3">
      <c r="A57">
        <v>490</v>
      </c>
      <c r="B57" s="11">
        <v>0.74305555555555558</v>
      </c>
      <c r="C57" s="1">
        <v>901</v>
      </c>
      <c r="D57" s="1">
        <v>1.4</v>
      </c>
      <c r="E57" s="1">
        <v>23.8</v>
      </c>
      <c r="F57" s="3">
        <v>0.53600000000000003</v>
      </c>
      <c r="G57" s="1">
        <v>23.8</v>
      </c>
      <c r="H57" s="3">
        <v>0.53700000000000003</v>
      </c>
    </row>
    <row r="58" spans="1:8" x14ac:dyDescent="0.3">
      <c r="A58">
        <v>500</v>
      </c>
      <c r="B58" s="11">
        <v>0.75</v>
      </c>
      <c r="C58" s="1">
        <v>898</v>
      </c>
      <c r="D58" s="1">
        <v>1.4</v>
      </c>
      <c r="E58" s="1">
        <v>23.8</v>
      </c>
      <c r="F58" s="3">
        <v>0.54</v>
      </c>
      <c r="G58" s="1">
        <v>23.8</v>
      </c>
      <c r="H58" s="3">
        <v>0.54200000000000004</v>
      </c>
    </row>
    <row r="59" spans="1:8" x14ac:dyDescent="0.3">
      <c r="A59">
        <v>510</v>
      </c>
      <c r="B59" s="11">
        <v>0.75694444444444442</v>
      </c>
      <c r="C59" s="1">
        <v>894</v>
      </c>
      <c r="D59" s="1">
        <v>1.35</v>
      </c>
      <c r="E59" s="1">
        <v>23.6</v>
      </c>
      <c r="F59" s="3">
        <v>0.54700000000000004</v>
      </c>
      <c r="G59" s="1">
        <v>23.6</v>
      </c>
      <c r="H59" s="3">
        <v>0.55100000000000005</v>
      </c>
    </row>
    <row r="60" spans="1:8" x14ac:dyDescent="0.3">
      <c r="A60">
        <v>520</v>
      </c>
      <c r="B60" s="11">
        <v>0.76388888888888884</v>
      </c>
      <c r="C60" s="1">
        <v>892</v>
      </c>
      <c r="D60" s="1">
        <v>1.35</v>
      </c>
      <c r="E60" s="1">
        <v>23.5</v>
      </c>
      <c r="F60" s="3">
        <v>0.55299999999999994</v>
      </c>
      <c r="G60" s="1">
        <v>23.5</v>
      </c>
      <c r="H60" s="3">
        <v>0.55399999999999994</v>
      </c>
    </row>
    <row r="61" spans="1:8" x14ac:dyDescent="0.3">
      <c r="A61">
        <v>530</v>
      </c>
      <c r="B61" s="11">
        <v>0.77083333333333337</v>
      </c>
      <c r="C61" s="1">
        <v>891</v>
      </c>
      <c r="D61" s="1">
        <v>1.33</v>
      </c>
      <c r="E61" s="1">
        <v>23.4</v>
      </c>
      <c r="F61" s="3">
        <v>0.56000000000000005</v>
      </c>
      <c r="G61" s="1">
        <v>23.4</v>
      </c>
      <c r="H61" s="3">
        <v>0.56200000000000006</v>
      </c>
    </row>
    <row r="62" spans="1:8" x14ac:dyDescent="0.3">
      <c r="B62" s="11"/>
    </row>
  </sheetData>
  <mergeCells count="9">
    <mergeCell ref="I6:I7"/>
    <mergeCell ref="E1:F1"/>
    <mergeCell ref="G1:H1"/>
    <mergeCell ref="A6:A7"/>
    <mergeCell ref="B6:B7"/>
    <mergeCell ref="C6:C7"/>
    <mergeCell ref="D6:D7"/>
    <mergeCell ref="E6:F6"/>
    <mergeCell ref="G6:H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AA29-9663-43D1-AB5E-40D4686E1996}">
  <dimension ref="A1:O62"/>
  <sheetViews>
    <sheetView zoomScale="78" zoomScaleNormal="55" workbookViewId="0">
      <pane ySplit="1" topLeftCell="A14" activePane="bottomLeft" state="frozen"/>
      <selection pane="bottomLeft" activeCell="N82" sqref="N82"/>
    </sheetView>
  </sheetViews>
  <sheetFormatPr baseColWidth="10" defaultColWidth="10.6640625" defaultRowHeight="14.4" x14ac:dyDescent="0.3"/>
  <cols>
    <col min="2" max="2" width="10.6640625" style="8"/>
    <col min="5" max="8" width="16.33203125" customWidth="1"/>
    <col min="9" max="9" width="36.44140625" customWidth="1"/>
  </cols>
  <sheetData>
    <row r="1" spans="1:15" x14ac:dyDescent="0.3">
      <c r="A1" s="9" t="s">
        <v>0</v>
      </c>
      <c r="B1" s="6" t="s">
        <v>1</v>
      </c>
      <c r="C1" s="10" t="s">
        <v>2</v>
      </c>
      <c r="D1" s="10" t="s">
        <v>3</v>
      </c>
      <c r="E1" s="36" t="s">
        <v>4</v>
      </c>
      <c r="F1" s="36"/>
      <c r="G1" s="37" t="s">
        <v>5</v>
      </c>
      <c r="H1" s="37"/>
    </row>
    <row r="2" spans="1:15" x14ac:dyDescent="0.3">
      <c r="A2" s="9"/>
      <c r="B2" s="6"/>
      <c r="C2" s="10"/>
      <c r="D2" s="10"/>
      <c r="E2" s="4" t="s">
        <v>6</v>
      </c>
      <c r="F2" s="4" t="s">
        <v>7</v>
      </c>
      <c r="G2" s="5" t="s">
        <v>6</v>
      </c>
      <c r="H2" s="5" t="s">
        <v>7</v>
      </c>
      <c r="I2" t="s">
        <v>8</v>
      </c>
    </row>
    <row r="3" spans="1:15" x14ac:dyDescent="0.3">
      <c r="I3" t="s">
        <v>10</v>
      </c>
    </row>
    <row r="6" spans="1:15" x14ac:dyDescent="0.3">
      <c r="A6" s="38" t="s">
        <v>0</v>
      </c>
      <c r="B6" s="39" t="s">
        <v>1</v>
      </c>
      <c r="C6" s="39" t="s">
        <v>2</v>
      </c>
      <c r="D6" s="39" t="s">
        <v>3</v>
      </c>
      <c r="E6" s="36" t="s">
        <v>4</v>
      </c>
      <c r="F6" s="36"/>
      <c r="G6" s="37" t="s">
        <v>5</v>
      </c>
      <c r="H6" s="37"/>
      <c r="I6" s="35" t="s">
        <v>9</v>
      </c>
      <c r="O6" t="s">
        <v>8</v>
      </c>
    </row>
    <row r="7" spans="1:15" x14ac:dyDescent="0.3">
      <c r="A7" s="38"/>
      <c r="B7" s="39"/>
      <c r="C7" s="39"/>
      <c r="D7" s="39"/>
      <c r="E7" s="4" t="s">
        <v>6</v>
      </c>
      <c r="F7" s="4" t="s">
        <v>7</v>
      </c>
      <c r="G7" s="5" t="s">
        <v>6</v>
      </c>
      <c r="H7" s="5" t="s">
        <v>7</v>
      </c>
      <c r="I7" s="35"/>
      <c r="O7" t="s">
        <v>10</v>
      </c>
    </row>
    <row r="8" spans="1:15" x14ac:dyDescent="0.3">
      <c r="A8">
        <v>0</v>
      </c>
      <c r="B8" s="2">
        <v>0.40277777777777779</v>
      </c>
      <c r="C8" s="1">
        <v>1183</v>
      </c>
      <c r="D8" s="1">
        <v>1.3</v>
      </c>
      <c r="E8" s="1">
        <v>25.9</v>
      </c>
      <c r="F8" s="3">
        <v>0.45</v>
      </c>
      <c r="G8" s="1">
        <v>20.3</v>
      </c>
      <c r="H8" s="3">
        <v>0.60199999999999998</v>
      </c>
      <c r="I8" s="7">
        <v>0.63</v>
      </c>
    </row>
    <row r="9" spans="1:15" x14ac:dyDescent="0.3">
      <c r="A9">
        <v>10</v>
      </c>
      <c r="B9" s="2">
        <v>0.40972222222222221</v>
      </c>
      <c r="C9" s="1">
        <v>1164.2</v>
      </c>
      <c r="D9" s="1">
        <v>1.35</v>
      </c>
      <c r="E9" s="1">
        <v>21.22</v>
      </c>
      <c r="F9" s="3">
        <v>0.56399999999999995</v>
      </c>
      <c r="G9" s="1">
        <v>19.8</v>
      </c>
      <c r="H9" s="3">
        <v>0.622</v>
      </c>
    </row>
    <row r="10" spans="1:15" x14ac:dyDescent="0.3">
      <c r="A10">
        <v>20</v>
      </c>
      <c r="B10" s="2">
        <v>0.41666666666666702</v>
      </c>
      <c r="C10" s="1">
        <v>1159.4000000000001</v>
      </c>
      <c r="D10" s="1">
        <v>1.32</v>
      </c>
      <c r="E10" s="1">
        <v>20.8</v>
      </c>
      <c r="F10" s="3">
        <v>0.57899999999999996</v>
      </c>
      <c r="G10" s="1">
        <v>19.399999999999999</v>
      </c>
      <c r="H10" s="3">
        <v>0.627</v>
      </c>
    </row>
    <row r="11" spans="1:15" x14ac:dyDescent="0.3">
      <c r="A11">
        <v>30</v>
      </c>
      <c r="B11" s="2">
        <v>0.42361111111111099</v>
      </c>
      <c r="C11" s="1">
        <v>1154.8</v>
      </c>
      <c r="D11" s="1">
        <v>1.25</v>
      </c>
      <c r="E11" s="1">
        <v>20.8</v>
      </c>
      <c r="F11" s="3">
        <v>0.58299999999999996</v>
      </c>
      <c r="G11" s="1">
        <v>19.2</v>
      </c>
      <c r="H11" s="3">
        <v>0.621</v>
      </c>
    </row>
    <row r="12" spans="1:15" x14ac:dyDescent="0.3">
      <c r="A12">
        <v>40</v>
      </c>
      <c r="B12" s="2">
        <v>0.43055555555555503</v>
      </c>
      <c r="C12" s="1">
        <v>1146.2</v>
      </c>
      <c r="D12" s="1">
        <v>1.26</v>
      </c>
      <c r="E12" s="1">
        <v>21.1</v>
      </c>
      <c r="F12" s="3">
        <v>0.57999999999999996</v>
      </c>
      <c r="G12" s="1">
        <v>20.100000000000001</v>
      </c>
      <c r="H12" s="3">
        <v>0.622</v>
      </c>
    </row>
    <row r="13" spans="1:15" x14ac:dyDescent="0.3">
      <c r="A13">
        <v>50</v>
      </c>
      <c r="B13" s="2">
        <v>0.4375</v>
      </c>
      <c r="C13" s="1">
        <v>1139.3</v>
      </c>
      <c r="D13" s="1">
        <v>1.25</v>
      </c>
      <c r="E13" s="1">
        <v>21.4</v>
      </c>
      <c r="F13" s="3">
        <v>0.57399999999999995</v>
      </c>
      <c r="G13" s="1">
        <v>20.399999999999999</v>
      </c>
      <c r="H13" s="3">
        <v>0.61199999999999999</v>
      </c>
    </row>
    <row r="14" spans="1:15" x14ac:dyDescent="0.3">
      <c r="A14">
        <v>60</v>
      </c>
      <c r="B14" s="2">
        <v>0.44444444444444398</v>
      </c>
      <c r="C14" s="1">
        <v>1129.2</v>
      </c>
      <c r="D14" s="1">
        <v>1.21</v>
      </c>
      <c r="E14" s="1">
        <v>21.8</v>
      </c>
      <c r="F14" s="3">
        <v>0.56699999999999995</v>
      </c>
      <c r="G14" s="1">
        <v>20.7</v>
      </c>
      <c r="H14" s="3">
        <v>0.60699999999999998</v>
      </c>
    </row>
    <row r="15" spans="1:15" x14ac:dyDescent="0.3">
      <c r="A15">
        <v>70</v>
      </c>
      <c r="B15" s="2">
        <v>0.45138888888888901</v>
      </c>
      <c r="C15" s="1">
        <v>1122.4000000000001</v>
      </c>
      <c r="D15" s="1">
        <v>1.21</v>
      </c>
      <c r="E15" s="1">
        <v>22.1</v>
      </c>
      <c r="F15" s="3">
        <v>0.56200000000000006</v>
      </c>
      <c r="G15" s="1">
        <v>20.9</v>
      </c>
      <c r="H15" s="3">
        <v>0.60299999999999998</v>
      </c>
    </row>
    <row r="16" spans="1:15" x14ac:dyDescent="0.3">
      <c r="A16">
        <v>80</v>
      </c>
      <c r="B16" s="2">
        <v>0.45833333333333298</v>
      </c>
      <c r="C16" s="1">
        <v>1115</v>
      </c>
      <c r="D16" s="1">
        <v>1.2</v>
      </c>
      <c r="E16" s="1">
        <v>22.3</v>
      </c>
      <c r="F16" s="3">
        <v>0.55900000000000005</v>
      </c>
      <c r="G16" s="1">
        <v>21.2</v>
      </c>
      <c r="H16" s="3">
        <v>0.59699999999999998</v>
      </c>
    </row>
    <row r="17" spans="1:9" x14ac:dyDescent="0.3">
      <c r="A17">
        <v>90</v>
      </c>
      <c r="B17" s="2">
        <v>0.46527777777777801</v>
      </c>
      <c r="C17" s="1">
        <v>1106.3</v>
      </c>
      <c r="D17" s="1">
        <v>1.2</v>
      </c>
      <c r="E17" s="1">
        <v>22.6</v>
      </c>
      <c r="F17" s="3">
        <v>0.55900000000000005</v>
      </c>
      <c r="G17" s="1">
        <v>21.3</v>
      </c>
      <c r="H17" s="3">
        <v>0.59499999999999997</v>
      </c>
    </row>
    <row r="18" spans="1:9" x14ac:dyDescent="0.3">
      <c r="A18">
        <v>100</v>
      </c>
      <c r="B18" s="2">
        <v>0.47222222222222199</v>
      </c>
      <c r="C18" s="1">
        <v>1097.2</v>
      </c>
      <c r="D18" s="1">
        <v>1.2</v>
      </c>
      <c r="E18" s="1">
        <v>22.7</v>
      </c>
      <c r="F18" s="3">
        <v>0.55400000000000005</v>
      </c>
      <c r="G18" s="1">
        <v>21.5</v>
      </c>
      <c r="H18" s="3">
        <v>0.59299999999999997</v>
      </c>
    </row>
    <row r="19" spans="1:9" x14ac:dyDescent="0.3">
      <c r="A19">
        <v>110</v>
      </c>
      <c r="B19" s="2">
        <v>0.47916666666666602</v>
      </c>
      <c r="C19" s="1">
        <v>1090.5</v>
      </c>
      <c r="D19" s="1">
        <v>1.2</v>
      </c>
      <c r="E19" s="1">
        <v>22.7</v>
      </c>
      <c r="F19" s="3">
        <v>0.55400000000000005</v>
      </c>
      <c r="G19" s="1">
        <v>21.6</v>
      </c>
      <c r="H19" s="3">
        <v>0.59099999999999997</v>
      </c>
    </row>
    <row r="20" spans="1:9" x14ac:dyDescent="0.3">
      <c r="A20">
        <v>120</v>
      </c>
      <c r="B20" s="2">
        <v>0.48611111111111099</v>
      </c>
      <c r="C20" s="1">
        <v>1083.3</v>
      </c>
      <c r="D20" s="1">
        <v>1.2</v>
      </c>
      <c r="E20" s="1">
        <v>23</v>
      </c>
      <c r="F20" s="3">
        <v>0.54300000000000004</v>
      </c>
      <c r="G20" s="1">
        <v>21.7</v>
      </c>
      <c r="H20" s="3">
        <v>0.57899999999999996</v>
      </c>
    </row>
    <row r="21" spans="1:9" x14ac:dyDescent="0.3">
      <c r="A21">
        <v>130</v>
      </c>
      <c r="B21" s="2">
        <v>0.49305555555555503</v>
      </c>
      <c r="C21" s="1">
        <v>1075.7</v>
      </c>
      <c r="D21" s="1">
        <v>1.07</v>
      </c>
      <c r="E21" s="1">
        <v>23.1</v>
      </c>
      <c r="F21" s="3">
        <v>0.54200000000000004</v>
      </c>
      <c r="G21" s="1">
        <v>21.9</v>
      </c>
      <c r="H21" s="3">
        <v>0.58199999999999996</v>
      </c>
    </row>
    <row r="22" spans="1:9" x14ac:dyDescent="0.3">
      <c r="A22">
        <v>140</v>
      </c>
      <c r="B22" s="2">
        <v>0.5</v>
      </c>
      <c r="C22" s="1">
        <v>1069</v>
      </c>
      <c r="D22" s="1">
        <v>1.1000000000000001</v>
      </c>
      <c r="E22" s="1">
        <v>23.2</v>
      </c>
      <c r="F22" s="3">
        <v>0.54100000000000004</v>
      </c>
      <c r="G22" s="1">
        <v>22</v>
      </c>
      <c r="H22" s="3">
        <v>0.57899999999999996</v>
      </c>
    </row>
    <row r="23" spans="1:9" x14ac:dyDescent="0.3">
      <c r="A23">
        <v>150</v>
      </c>
      <c r="B23" s="2">
        <v>0.50694444444444398</v>
      </c>
      <c r="C23" s="1">
        <v>1062.3</v>
      </c>
      <c r="D23" s="1">
        <v>1</v>
      </c>
      <c r="E23" s="1">
        <v>23.3</v>
      </c>
      <c r="F23" s="3">
        <v>0.54400000000000004</v>
      </c>
      <c r="G23" s="1">
        <v>22.1</v>
      </c>
      <c r="H23" s="3">
        <v>0.57899999999999996</v>
      </c>
    </row>
    <row r="24" spans="1:9" x14ac:dyDescent="0.3">
      <c r="A24">
        <v>160</v>
      </c>
      <c r="B24" s="2">
        <v>0.51388888888888895</v>
      </c>
      <c r="C24" s="1">
        <v>1054.9000000000001</v>
      </c>
      <c r="D24" s="1">
        <v>1</v>
      </c>
      <c r="E24" s="1">
        <v>23.4</v>
      </c>
      <c r="F24" s="3">
        <v>0.54</v>
      </c>
      <c r="G24" s="1">
        <v>22.2</v>
      </c>
      <c r="H24" s="3">
        <v>0.57199999999999995</v>
      </c>
    </row>
    <row r="25" spans="1:9" x14ac:dyDescent="0.3">
      <c r="A25">
        <v>170</v>
      </c>
      <c r="B25" s="2">
        <v>0.52083333333333304</v>
      </c>
      <c r="C25" s="1">
        <v>1050.0999999999999</v>
      </c>
      <c r="D25" s="1">
        <v>0.9</v>
      </c>
      <c r="E25" s="1">
        <v>23.6</v>
      </c>
      <c r="F25" s="3">
        <v>0.53200000000000003</v>
      </c>
      <c r="G25" s="1">
        <v>22.2</v>
      </c>
      <c r="H25" s="3">
        <v>0.56999999999999995</v>
      </c>
    </row>
    <row r="26" spans="1:9" x14ac:dyDescent="0.3">
      <c r="A26">
        <v>180</v>
      </c>
      <c r="B26" s="2">
        <v>0.52777777777777801</v>
      </c>
      <c r="C26" s="1">
        <v>1041</v>
      </c>
      <c r="D26" s="1">
        <v>1.1000000000000001</v>
      </c>
      <c r="E26" s="1">
        <v>23.8</v>
      </c>
      <c r="F26" s="3">
        <v>0.53500000000000003</v>
      </c>
      <c r="G26" s="1">
        <v>22.5</v>
      </c>
      <c r="H26" s="3">
        <v>0.56999999999999995</v>
      </c>
    </row>
    <row r="27" spans="1:9" x14ac:dyDescent="0.3">
      <c r="A27">
        <v>190</v>
      </c>
      <c r="B27" s="2">
        <v>0.53472222222222199</v>
      </c>
      <c r="C27" s="1">
        <v>1035.5999999999999</v>
      </c>
      <c r="D27" s="1">
        <v>1.1000000000000001</v>
      </c>
      <c r="E27" s="1">
        <v>23.7</v>
      </c>
      <c r="F27" s="3">
        <v>0.53800000000000003</v>
      </c>
      <c r="G27" s="1">
        <v>22.5</v>
      </c>
      <c r="H27" s="3">
        <v>0.57199999999999995</v>
      </c>
      <c r="I27" t="s">
        <v>11</v>
      </c>
    </row>
    <row r="28" spans="1:9" x14ac:dyDescent="0.3">
      <c r="A28">
        <v>200</v>
      </c>
      <c r="B28" s="2">
        <v>0.54166666666666596</v>
      </c>
      <c r="C28" s="1">
        <v>1029.5</v>
      </c>
      <c r="D28" s="1">
        <v>1.1000000000000001</v>
      </c>
      <c r="E28" s="1">
        <v>24</v>
      </c>
      <c r="F28" s="3">
        <v>0.53100000000000003</v>
      </c>
      <c r="G28" s="1">
        <v>22.6</v>
      </c>
      <c r="H28" s="3">
        <v>0.56999999999999995</v>
      </c>
      <c r="I28" t="s">
        <v>12</v>
      </c>
    </row>
    <row r="29" spans="1:9" x14ac:dyDescent="0.3">
      <c r="A29">
        <v>210</v>
      </c>
      <c r="B29" s="2">
        <v>0.54861111111111105</v>
      </c>
      <c r="C29" s="1">
        <v>1023</v>
      </c>
      <c r="D29" s="1">
        <v>1.1000000000000001</v>
      </c>
      <c r="E29" s="1">
        <v>24</v>
      </c>
      <c r="F29" s="3">
        <v>0.53400000000000003</v>
      </c>
      <c r="G29" s="1">
        <v>22.6</v>
      </c>
      <c r="H29" s="3">
        <v>0.56899999999999995</v>
      </c>
    </row>
    <row r="30" spans="1:9" x14ac:dyDescent="0.3">
      <c r="A30">
        <v>220</v>
      </c>
      <c r="B30" s="2">
        <v>0.55555555555555503</v>
      </c>
      <c r="C30" s="1">
        <v>1016.3</v>
      </c>
      <c r="D30" s="1">
        <v>1.1000000000000001</v>
      </c>
      <c r="E30" s="1">
        <v>24.1</v>
      </c>
      <c r="F30" s="3">
        <v>0.52300000000000002</v>
      </c>
      <c r="G30" s="1">
        <v>22.7</v>
      </c>
      <c r="H30" s="3">
        <v>0.55800000000000005</v>
      </c>
    </row>
    <row r="31" spans="1:9" x14ac:dyDescent="0.3">
      <c r="A31">
        <v>230</v>
      </c>
      <c r="B31" s="2">
        <v>0.5625</v>
      </c>
      <c r="C31" s="1">
        <v>1011</v>
      </c>
      <c r="D31" s="1">
        <v>1.1000000000000001</v>
      </c>
      <c r="E31" s="1">
        <v>24.1</v>
      </c>
      <c r="F31" s="3">
        <v>0.52300000000000002</v>
      </c>
      <c r="G31" s="1">
        <v>22.8</v>
      </c>
      <c r="H31" s="3">
        <v>0.55700000000000005</v>
      </c>
    </row>
    <row r="32" spans="1:9" x14ac:dyDescent="0.3">
      <c r="A32">
        <v>240</v>
      </c>
      <c r="B32" s="2">
        <v>0.56944444444444398</v>
      </c>
      <c r="C32" s="1">
        <v>1004</v>
      </c>
      <c r="D32" s="1">
        <v>1.1000000000000001</v>
      </c>
      <c r="E32" s="1">
        <v>24.3</v>
      </c>
      <c r="F32" s="3">
        <v>0.51800000000000002</v>
      </c>
      <c r="G32" s="1">
        <v>22.9</v>
      </c>
      <c r="H32" s="3">
        <v>0.55200000000000005</v>
      </c>
    </row>
    <row r="33" spans="1:9" x14ac:dyDescent="0.3">
      <c r="A33">
        <v>250</v>
      </c>
      <c r="B33" s="2">
        <v>0.57638888888888795</v>
      </c>
      <c r="C33" s="1">
        <v>1000</v>
      </c>
      <c r="D33" s="1">
        <v>1.1000000000000001</v>
      </c>
      <c r="E33" s="1">
        <v>24.2</v>
      </c>
      <c r="F33" s="3">
        <v>0.51900000000000002</v>
      </c>
      <c r="G33" s="1">
        <v>22.8</v>
      </c>
      <c r="H33" s="3">
        <v>0.55400000000000005</v>
      </c>
    </row>
    <row r="34" spans="1:9" x14ac:dyDescent="0.3">
      <c r="A34">
        <v>260</v>
      </c>
      <c r="B34" s="2">
        <v>0.58333333333333304</v>
      </c>
      <c r="C34" s="1">
        <v>995</v>
      </c>
      <c r="D34" s="1">
        <v>1.1000000000000001</v>
      </c>
      <c r="E34" s="1">
        <v>24.2</v>
      </c>
      <c r="F34" s="3">
        <v>0.52</v>
      </c>
      <c r="G34" s="1">
        <v>22.9</v>
      </c>
      <c r="H34" s="3">
        <v>0.55300000000000005</v>
      </c>
    </row>
    <row r="35" spans="1:9" x14ac:dyDescent="0.3">
      <c r="A35">
        <v>270</v>
      </c>
      <c r="B35" s="2">
        <v>0.59027777777777701</v>
      </c>
      <c r="C35" s="1">
        <v>990</v>
      </c>
      <c r="D35" s="1">
        <v>1.1000000000000001</v>
      </c>
      <c r="E35" s="1">
        <v>24.5</v>
      </c>
      <c r="F35" s="3">
        <v>0.50800000000000001</v>
      </c>
      <c r="G35" s="1">
        <v>23.1</v>
      </c>
      <c r="H35" s="3">
        <v>0.54100000000000004</v>
      </c>
    </row>
    <row r="36" spans="1:9" x14ac:dyDescent="0.3">
      <c r="A36">
        <v>280</v>
      </c>
      <c r="B36" s="2">
        <v>0.59722222222222199</v>
      </c>
      <c r="C36" s="1">
        <v>984</v>
      </c>
      <c r="D36" s="1">
        <v>1.1000000000000001</v>
      </c>
      <c r="E36" s="1">
        <v>24.6</v>
      </c>
      <c r="F36" s="3">
        <v>0.5</v>
      </c>
      <c r="G36" s="1">
        <v>23.1</v>
      </c>
      <c r="H36" s="3">
        <v>0.53600000000000003</v>
      </c>
    </row>
    <row r="37" spans="1:9" x14ac:dyDescent="0.3">
      <c r="A37">
        <v>290</v>
      </c>
      <c r="B37" s="2">
        <v>0.60416666666666596</v>
      </c>
      <c r="C37" s="1">
        <v>980</v>
      </c>
      <c r="D37" s="1">
        <v>1.1000000000000001</v>
      </c>
      <c r="E37" s="1">
        <v>24.6</v>
      </c>
      <c r="F37" s="3">
        <v>0.502</v>
      </c>
      <c r="G37" s="1">
        <v>23.3</v>
      </c>
      <c r="H37" s="3">
        <v>0.53200000000000003</v>
      </c>
    </row>
    <row r="38" spans="1:9" x14ac:dyDescent="0.3">
      <c r="A38">
        <v>300</v>
      </c>
      <c r="B38" s="2">
        <v>0.61111111111111105</v>
      </c>
      <c r="C38" s="1">
        <v>973</v>
      </c>
      <c r="D38" s="1">
        <v>1.2</v>
      </c>
      <c r="E38" s="1">
        <v>24.8</v>
      </c>
      <c r="F38" s="3">
        <v>0.501</v>
      </c>
      <c r="G38" s="1">
        <v>23.3</v>
      </c>
      <c r="H38" s="3">
        <v>0.53500000000000003</v>
      </c>
    </row>
    <row r="39" spans="1:9" x14ac:dyDescent="0.3">
      <c r="A39">
        <v>310</v>
      </c>
      <c r="B39" s="2">
        <v>0.61805555555555558</v>
      </c>
      <c r="C39" s="1">
        <v>970</v>
      </c>
      <c r="D39" s="1">
        <v>1.2</v>
      </c>
      <c r="E39" s="1">
        <v>24.7</v>
      </c>
      <c r="F39" s="3">
        <v>0.503</v>
      </c>
      <c r="G39" s="1">
        <v>23.3</v>
      </c>
      <c r="H39" s="3">
        <v>0.53300000000000003</v>
      </c>
    </row>
    <row r="40" spans="1:9" x14ac:dyDescent="0.3">
      <c r="A40">
        <v>320</v>
      </c>
      <c r="B40" s="2">
        <v>0.625</v>
      </c>
      <c r="C40" s="1">
        <v>964</v>
      </c>
      <c r="D40" s="1">
        <v>1.3</v>
      </c>
      <c r="E40" s="1">
        <v>24.8</v>
      </c>
      <c r="F40" s="3">
        <v>0.5</v>
      </c>
      <c r="G40" s="1">
        <v>23.4</v>
      </c>
      <c r="H40" s="3">
        <v>0.53400000000000003</v>
      </c>
    </row>
    <row r="41" spans="1:9" x14ac:dyDescent="0.3">
      <c r="A41">
        <v>330</v>
      </c>
      <c r="B41" s="2">
        <v>0.63194444444444442</v>
      </c>
      <c r="C41" s="1">
        <v>960</v>
      </c>
      <c r="D41" s="1">
        <v>1.3</v>
      </c>
      <c r="E41" s="1">
        <v>24.8</v>
      </c>
      <c r="F41" s="3">
        <v>0.504</v>
      </c>
      <c r="G41" s="1">
        <v>23.3</v>
      </c>
      <c r="H41" s="3">
        <v>0.53600000000000003</v>
      </c>
    </row>
    <row r="42" spans="1:9" x14ac:dyDescent="0.3">
      <c r="A42">
        <v>340</v>
      </c>
      <c r="B42" s="2">
        <v>0.63888888888888884</v>
      </c>
      <c r="C42" s="1">
        <v>955</v>
      </c>
      <c r="D42" s="1">
        <v>1.4</v>
      </c>
      <c r="E42" s="1">
        <v>24.9</v>
      </c>
      <c r="F42" s="3">
        <v>0.505</v>
      </c>
      <c r="G42" s="1">
        <v>23.5</v>
      </c>
      <c r="H42" s="3">
        <v>0.53500000000000003</v>
      </c>
    </row>
    <row r="43" spans="1:9" x14ac:dyDescent="0.3">
      <c r="A43">
        <v>350</v>
      </c>
      <c r="B43" s="2">
        <v>0.64583333333333337</v>
      </c>
      <c r="C43" s="1">
        <v>950</v>
      </c>
      <c r="D43" s="1">
        <v>1.3</v>
      </c>
      <c r="E43" s="1">
        <v>24.9</v>
      </c>
      <c r="F43" s="3">
        <v>0.50600000000000001</v>
      </c>
      <c r="G43" s="1">
        <v>23.5</v>
      </c>
      <c r="H43" s="3">
        <v>0.53500000000000003</v>
      </c>
    </row>
    <row r="44" spans="1:9" x14ac:dyDescent="0.3">
      <c r="A44">
        <v>360</v>
      </c>
      <c r="B44" s="2">
        <v>0.65277777777777779</v>
      </c>
      <c r="C44" s="1">
        <v>946</v>
      </c>
      <c r="D44" s="1">
        <v>1.3</v>
      </c>
      <c r="E44" s="1">
        <v>25</v>
      </c>
      <c r="F44" s="3">
        <v>0.49399999999999999</v>
      </c>
      <c r="G44" s="1">
        <v>23.6</v>
      </c>
      <c r="H44" s="3">
        <v>0.52500000000000002</v>
      </c>
    </row>
    <row r="45" spans="1:9" x14ac:dyDescent="0.3">
      <c r="A45">
        <v>370</v>
      </c>
      <c r="B45" s="2">
        <v>0.65972222222222221</v>
      </c>
      <c r="C45" s="1">
        <v>943</v>
      </c>
      <c r="D45" s="1">
        <v>1.3</v>
      </c>
      <c r="E45" s="1">
        <v>24.9</v>
      </c>
      <c r="F45" s="3">
        <v>0.49399999999999999</v>
      </c>
      <c r="G45" s="1">
        <v>23.5</v>
      </c>
      <c r="H45" s="3">
        <v>0.52400000000000002</v>
      </c>
    </row>
    <row r="46" spans="1:9" x14ac:dyDescent="0.3">
      <c r="A46">
        <v>380</v>
      </c>
      <c r="B46" s="2">
        <v>0.66666666666666663</v>
      </c>
      <c r="C46" s="1">
        <v>937.9</v>
      </c>
      <c r="D46" s="1">
        <v>1.3</v>
      </c>
      <c r="E46" s="1">
        <v>24.8</v>
      </c>
      <c r="F46" s="3">
        <v>0.497</v>
      </c>
      <c r="G46" s="1">
        <v>23.5</v>
      </c>
      <c r="H46" s="3">
        <v>0.52800000000000002</v>
      </c>
      <c r="I46" t="s">
        <v>14</v>
      </c>
    </row>
    <row r="47" spans="1:9" x14ac:dyDescent="0.3">
      <c r="A47">
        <v>390</v>
      </c>
      <c r="B47" s="2">
        <v>0.67361111111111116</v>
      </c>
      <c r="C47" s="1">
        <v>933.4</v>
      </c>
      <c r="D47" s="1">
        <v>1.3</v>
      </c>
      <c r="E47" s="1">
        <v>24.9</v>
      </c>
      <c r="F47" s="3">
        <v>0.48799999999999999</v>
      </c>
      <c r="G47" s="1">
        <v>23.8</v>
      </c>
      <c r="H47" s="3">
        <v>0.51700000000000002</v>
      </c>
    </row>
    <row r="48" spans="1:9" x14ac:dyDescent="0.3">
      <c r="A48">
        <v>400</v>
      </c>
      <c r="B48" s="2">
        <v>0.68055555555555558</v>
      </c>
      <c r="C48" s="1">
        <v>933.4</v>
      </c>
      <c r="D48" s="1">
        <v>1.2</v>
      </c>
      <c r="E48" s="1">
        <v>24.9</v>
      </c>
      <c r="F48" s="3">
        <v>0.48799999999999999</v>
      </c>
      <c r="G48" s="1">
        <v>23.4</v>
      </c>
      <c r="H48" s="3">
        <v>0.52300000000000002</v>
      </c>
    </row>
    <row r="49" spans="1:8" x14ac:dyDescent="0.3">
      <c r="A49">
        <v>410</v>
      </c>
      <c r="B49" s="11">
        <v>0.6875</v>
      </c>
      <c r="C49" s="1">
        <v>924.6</v>
      </c>
      <c r="D49" s="1">
        <v>1.29</v>
      </c>
      <c r="E49" s="1">
        <v>24.7</v>
      </c>
      <c r="F49" s="3">
        <v>0.48599999999999999</v>
      </c>
      <c r="G49" s="1">
        <v>24.7</v>
      </c>
      <c r="H49" s="3">
        <v>0.48399999999999999</v>
      </c>
    </row>
    <row r="50" spans="1:8" x14ac:dyDescent="0.3">
      <c r="A50">
        <v>420</v>
      </c>
      <c r="B50" s="11">
        <v>0.69444444444444442</v>
      </c>
      <c r="C50" s="1">
        <v>923.5</v>
      </c>
      <c r="D50" s="1">
        <v>1.31</v>
      </c>
      <c r="E50" s="1">
        <v>24.6</v>
      </c>
      <c r="F50" s="3">
        <v>0.48799999999999999</v>
      </c>
      <c r="G50" s="1">
        <v>24.6</v>
      </c>
      <c r="H50" s="3">
        <v>0.49</v>
      </c>
    </row>
    <row r="51" spans="1:8" x14ac:dyDescent="0.3">
      <c r="A51">
        <v>430</v>
      </c>
      <c r="B51" s="11">
        <v>0.70138888888888884</v>
      </c>
      <c r="C51" s="1">
        <v>919</v>
      </c>
      <c r="D51" s="1">
        <v>1.29</v>
      </c>
      <c r="E51" s="1">
        <v>24.6</v>
      </c>
      <c r="F51" s="3">
        <v>0.48599999999999999</v>
      </c>
      <c r="G51" s="1">
        <v>24.6</v>
      </c>
      <c r="H51" s="3">
        <v>0.48899999999999999</v>
      </c>
    </row>
    <row r="52" spans="1:8" x14ac:dyDescent="0.3">
      <c r="A52">
        <v>440</v>
      </c>
      <c r="B52" s="11">
        <v>0.70833333333333337</v>
      </c>
      <c r="C52" s="1">
        <v>915.1</v>
      </c>
      <c r="D52" s="1">
        <v>1.32</v>
      </c>
      <c r="E52" s="1">
        <v>24.4</v>
      </c>
      <c r="F52" s="3">
        <v>0.497</v>
      </c>
      <c r="G52" s="1">
        <v>24.4</v>
      </c>
      <c r="H52" s="3">
        <v>0.499</v>
      </c>
    </row>
    <row r="53" spans="1:8" x14ac:dyDescent="0.3">
      <c r="A53">
        <v>450</v>
      </c>
      <c r="B53" s="11">
        <v>0.71527777777777779</v>
      </c>
      <c r="C53" s="1">
        <v>911</v>
      </c>
      <c r="D53" s="1">
        <v>1.32</v>
      </c>
      <c r="E53" s="1">
        <v>24.3</v>
      </c>
      <c r="F53" s="3">
        <v>0.505</v>
      </c>
      <c r="G53" s="1">
        <v>24.3</v>
      </c>
      <c r="H53" s="3">
        <v>0.51100000000000001</v>
      </c>
    </row>
    <row r="54" spans="1:8" x14ac:dyDescent="0.3">
      <c r="A54">
        <v>460</v>
      </c>
      <c r="B54" s="11">
        <v>0.72222222222222221</v>
      </c>
      <c r="C54" s="1">
        <v>909.3</v>
      </c>
      <c r="D54" s="1">
        <v>1.35</v>
      </c>
      <c r="E54" s="1">
        <v>24.1</v>
      </c>
      <c r="F54" s="3">
        <v>0.51200000000000001</v>
      </c>
      <c r="G54" s="1">
        <v>24.1</v>
      </c>
      <c r="H54" s="3">
        <v>0.51300000000000001</v>
      </c>
    </row>
    <row r="55" spans="1:8" x14ac:dyDescent="0.3">
      <c r="A55">
        <v>470</v>
      </c>
      <c r="B55" s="11">
        <v>0.72916666666666663</v>
      </c>
      <c r="C55" s="1">
        <v>906.5</v>
      </c>
      <c r="D55" s="1">
        <v>1.35</v>
      </c>
      <c r="E55" s="1">
        <v>24.1</v>
      </c>
      <c r="F55" s="3">
        <v>0.51700000000000002</v>
      </c>
      <c r="G55" s="1">
        <v>24.1</v>
      </c>
      <c r="H55" s="3">
        <v>0.51900000000000002</v>
      </c>
    </row>
    <row r="56" spans="1:8" x14ac:dyDescent="0.3">
      <c r="A56">
        <v>480</v>
      </c>
      <c r="B56" s="11">
        <v>0.73611111111111116</v>
      </c>
      <c r="C56" s="1">
        <v>904</v>
      </c>
      <c r="D56" s="1">
        <v>1.34</v>
      </c>
      <c r="E56" s="1">
        <v>24</v>
      </c>
      <c r="F56" s="3">
        <v>0.52900000000000003</v>
      </c>
      <c r="G56" s="1">
        <v>23.9</v>
      </c>
      <c r="H56" s="3">
        <v>0.53200000000000003</v>
      </c>
    </row>
    <row r="57" spans="1:8" x14ac:dyDescent="0.3">
      <c r="A57">
        <v>490</v>
      </c>
      <c r="B57" s="11">
        <v>0.74305555555555558</v>
      </c>
      <c r="C57" s="1">
        <v>901</v>
      </c>
      <c r="D57" s="1">
        <v>1.4</v>
      </c>
      <c r="E57" s="1">
        <v>23.8</v>
      </c>
      <c r="F57" s="3">
        <v>0.53600000000000003</v>
      </c>
      <c r="G57" s="1">
        <v>23.8</v>
      </c>
      <c r="H57" s="3">
        <v>0.53700000000000003</v>
      </c>
    </row>
    <row r="58" spans="1:8" x14ac:dyDescent="0.3">
      <c r="A58">
        <v>500</v>
      </c>
      <c r="B58" s="11">
        <v>0.75</v>
      </c>
      <c r="C58" s="1">
        <v>898</v>
      </c>
      <c r="D58" s="1">
        <v>1.4</v>
      </c>
      <c r="E58" s="1">
        <v>23.8</v>
      </c>
      <c r="F58" s="3">
        <v>0.54</v>
      </c>
      <c r="G58" s="1">
        <v>23.8</v>
      </c>
      <c r="H58" s="3">
        <v>0.54200000000000004</v>
      </c>
    </row>
    <row r="59" spans="1:8" x14ac:dyDescent="0.3">
      <c r="A59">
        <v>510</v>
      </c>
      <c r="B59" s="11">
        <v>0.75694444444444442</v>
      </c>
      <c r="C59" s="1">
        <v>894</v>
      </c>
      <c r="D59" s="1">
        <v>1.35</v>
      </c>
      <c r="E59" s="1">
        <v>23.6</v>
      </c>
      <c r="F59" s="3">
        <v>0.54700000000000004</v>
      </c>
      <c r="G59" s="1">
        <v>23.6</v>
      </c>
      <c r="H59" s="3">
        <v>0.55100000000000005</v>
      </c>
    </row>
    <row r="60" spans="1:8" x14ac:dyDescent="0.3">
      <c r="A60">
        <v>520</v>
      </c>
      <c r="B60" s="11">
        <v>0.76388888888888884</v>
      </c>
      <c r="C60" s="1">
        <v>892</v>
      </c>
      <c r="D60" s="1">
        <v>1.35</v>
      </c>
      <c r="E60" s="1">
        <v>23.5</v>
      </c>
      <c r="F60" s="3">
        <v>0.55299999999999994</v>
      </c>
      <c r="G60" s="1">
        <v>23.5</v>
      </c>
      <c r="H60" s="3">
        <v>0.55399999999999994</v>
      </c>
    </row>
    <row r="61" spans="1:8" x14ac:dyDescent="0.3">
      <c r="A61">
        <v>530</v>
      </c>
      <c r="B61" s="11">
        <v>0.77083333333333337</v>
      </c>
      <c r="C61" s="1">
        <v>891</v>
      </c>
      <c r="D61" s="1">
        <v>1.33</v>
      </c>
      <c r="E61" s="1">
        <v>23.4</v>
      </c>
      <c r="F61" s="3">
        <v>0.56000000000000005</v>
      </c>
      <c r="G61" s="1">
        <v>23.4</v>
      </c>
      <c r="H61" s="3">
        <v>0.56200000000000006</v>
      </c>
    </row>
    <row r="62" spans="1:8" x14ac:dyDescent="0.3">
      <c r="B62" s="11"/>
    </row>
  </sheetData>
  <mergeCells count="9">
    <mergeCell ref="I6:I7"/>
    <mergeCell ref="E1:F1"/>
    <mergeCell ref="G1:H1"/>
    <mergeCell ref="A6:A7"/>
    <mergeCell ref="B6:B7"/>
    <mergeCell ref="C6:C7"/>
    <mergeCell ref="D6:D7"/>
    <mergeCell ref="E6:F6"/>
    <mergeCell ref="G6:H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218E-18FE-44D1-9F22-7108458C6502}">
  <dimension ref="A4:AB78"/>
  <sheetViews>
    <sheetView topLeftCell="C9" zoomScale="77" zoomScaleNormal="70" workbookViewId="0">
      <selection activeCell="N21" sqref="N21"/>
    </sheetView>
  </sheetViews>
  <sheetFormatPr baseColWidth="10" defaultColWidth="11.44140625" defaultRowHeight="14.4" x14ac:dyDescent="0.3"/>
  <cols>
    <col min="11" max="11" width="15.33203125" customWidth="1"/>
  </cols>
  <sheetData>
    <row r="4" spans="1:18" x14ac:dyDescent="0.3">
      <c r="R4" t="s">
        <v>15</v>
      </c>
    </row>
    <row r="5" spans="1:18" ht="43.2" x14ac:dyDescent="0.3">
      <c r="B5" s="12" t="s">
        <v>16</v>
      </c>
      <c r="C5">
        <v>1183</v>
      </c>
    </row>
    <row r="6" spans="1:18" ht="43.2" x14ac:dyDescent="0.3">
      <c r="B6" s="12" t="s">
        <v>17</v>
      </c>
    </row>
    <row r="7" spans="1:18" x14ac:dyDescent="0.3">
      <c r="B7" s="12"/>
    </row>
    <row r="8" spans="1:18" ht="43.2" x14ac:dyDescent="0.3">
      <c r="B8" s="12" t="s">
        <v>18</v>
      </c>
      <c r="C8" t="s">
        <v>19</v>
      </c>
      <c r="D8">
        <f>24*10^-2</f>
        <v>0.24</v>
      </c>
      <c r="E8" t="s">
        <v>20</v>
      </c>
      <c r="F8" s="12" t="s">
        <v>21</v>
      </c>
      <c r="G8" t="s">
        <v>19</v>
      </c>
      <c r="H8">
        <f>10.5*10^-2</f>
        <v>0.105</v>
      </c>
      <c r="P8" t="s">
        <v>22</v>
      </c>
    </row>
    <row r="9" spans="1:18" x14ac:dyDescent="0.3">
      <c r="B9" s="12"/>
      <c r="C9" t="s">
        <v>23</v>
      </c>
      <c r="D9">
        <f>36*10^-2</f>
        <v>0.36</v>
      </c>
      <c r="E9" t="s">
        <v>20</v>
      </c>
      <c r="G9" t="s">
        <v>23</v>
      </c>
      <c r="H9">
        <f>11*10^-2</f>
        <v>0.11</v>
      </c>
      <c r="P9" t="s">
        <v>24</v>
      </c>
    </row>
    <row r="10" spans="1:18" x14ac:dyDescent="0.3">
      <c r="C10" t="s">
        <v>25</v>
      </c>
      <c r="D10">
        <f>1.7*10^-2</f>
        <v>1.7000000000000001E-2</v>
      </c>
      <c r="E10" t="s">
        <v>20</v>
      </c>
      <c r="G10" t="s">
        <v>26</v>
      </c>
      <c r="H10">
        <f>1.7*10^-2</f>
        <v>1.7000000000000001E-2</v>
      </c>
      <c r="P10" t="s">
        <v>27</v>
      </c>
    </row>
    <row r="11" spans="1:18" x14ac:dyDescent="0.3">
      <c r="C11" t="s">
        <v>28</v>
      </c>
      <c r="D11">
        <f>D8*D9</f>
        <v>8.6399999999999991E-2</v>
      </c>
      <c r="F11" t="s">
        <v>29</v>
      </c>
      <c r="G11">
        <f>H9*H8+2*(H9*H10)+2*(H8*H10)</f>
        <v>1.8860000000000002E-2</v>
      </c>
      <c r="H11" t="s">
        <v>30</v>
      </c>
      <c r="I11">
        <v>9</v>
      </c>
      <c r="J11" t="s">
        <v>31</v>
      </c>
      <c r="K11">
        <v>4</v>
      </c>
    </row>
    <row r="12" spans="1:18" ht="43.2" x14ac:dyDescent="0.3">
      <c r="F12" s="16" t="s">
        <v>32</v>
      </c>
      <c r="G12" s="17">
        <f>G11*I11*K11</f>
        <v>0.67896000000000001</v>
      </c>
      <c r="H12" s="17" t="s">
        <v>33</v>
      </c>
    </row>
    <row r="15" spans="1:18" ht="28.8" x14ac:dyDescent="0.3">
      <c r="A15" s="12" t="s">
        <v>34</v>
      </c>
      <c r="B15" s="12" t="s">
        <v>35</v>
      </c>
    </row>
    <row r="16" spans="1:18" x14ac:dyDescent="0.3">
      <c r="A16">
        <v>1</v>
      </c>
      <c r="B16">
        <f>582.19-348.58</f>
        <v>233.61000000000007</v>
      </c>
      <c r="G16" t="s">
        <v>36</v>
      </c>
    </row>
    <row r="17" spans="1:28" x14ac:dyDescent="0.3">
      <c r="A17">
        <v>2</v>
      </c>
      <c r="B17">
        <f>543.49-341.29</f>
        <v>202.2</v>
      </c>
      <c r="G17" t="s">
        <v>37</v>
      </c>
    </row>
    <row r="18" spans="1:28" x14ac:dyDescent="0.3">
      <c r="A18">
        <v>3</v>
      </c>
      <c r="B18">
        <f>572.68-349.35</f>
        <v>223.32999999999993</v>
      </c>
      <c r="G18" t="s">
        <v>38</v>
      </c>
      <c r="J18" s="1"/>
      <c r="K18" s="1"/>
    </row>
    <row r="19" spans="1:28" x14ac:dyDescent="0.3">
      <c r="A19">
        <v>4</v>
      </c>
      <c r="B19">
        <f>577.24-347.7</f>
        <v>229.54000000000002</v>
      </c>
      <c r="F19" s="19" t="s">
        <v>40</v>
      </c>
      <c r="G19" s="19">
        <v>778.69</v>
      </c>
      <c r="H19" s="19" t="s">
        <v>39</v>
      </c>
      <c r="J19" s="1"/>
      <c r="K19" s="1"/>
      <c r="L19" s="1"/>
      <c r="M19" s="1" t="s">
        <v>41</v>
      </c>
      <c r="N19" s="1">
        <v>0.14130000000000001</v>
      </c>
    </row>
    <row r="20" spans="1:28" x14ac:dyDescent="0.3">
      <c r="B20">
        <f>SUM(B16:B19)</f>
        <v>888.68000000000006</v>
      </c>
      <c r="D20">
        <v>1183</v>
      </c>
    </row>
    <row r="22" spans="1:28" ht="14.7" customHeight="1" x14ac:dyDescent="0.3">
      <c r="K22" s="40" t="s">
        <v>42</v>
      </c>
    </row>
    <row r="23" spans="1:28" x14ac:dyDescent="0.3">
      <c r="B23" s="38" t="s">
        <v>0</v>
      </c>
      <c r="C23" s="39" t="s">
        <v>1</v>
      </c>
      <c r="D23" s="39" t="s">
        <v>2</v>
      </c>
      <c r="E23" s="39" t="s">
        <v>3</v>
      </c>
      <c r="F23" s="36" t="s">
        <v>4</v>
      </c>
      <c r="G23" s="36"/>
      <c r="H23" s="37" t="s">
        <v>5</v>
      </c>
      <c r="I23" s="37"/>
      <c r="K23" s="40"/>
    </row>
    <row r="24" spans="1:28" x14ac:dyDescent="0.3">
      <c r="B24" s="38"/>
      <c r="C24" s="39"/>
      <c r="D24" s="39"/>
      <c r="E24" s="39"/>
      <c r="F24" s="4" t="s">
        <v>6</v>
      </c>
      <c r="G24" s="4" t="s">
        <v>7</v>
      </c>
      <c r="H24" s="5" t="s">
        <v>6</v>
      </c>
      <c r="I24" s="5" t="s">
        <v>7</v>
      </c>
      <c r="J24" s="14" t="s">
        <v>43</v>
      </c>
      <c r="K24" s="14" t="s">
        <v>44</v>
      </c>
      <c r="L24" t="s">
        <v>45</v>
      </c>
      <c r="M24" t="s">
        <v>46</v>
      </c>
      <c r="AA24" t="s">
        <v>55</v>
      </c>
      <c r="AB24" t="s">
        <v>56</v>
      </c>
    </row>
    <row r="25" spans="1:28" x14ac:dyDescent="0.3">
      <c r="B25">
        <v>0</v>
      </c>
      <c r="C25" s="2">
        <v>0.40277777777777779</v>
      </c>
      <c r="D25" s="1">
        <v>1183</v>
      </c>
      <c r="E25" s="1">
        <v>1.3</v>
      </c>
      <c r="F25" s="1">
        <v>25.9</v>
      </c>
      <c r="G25" s="3">
        <v>0.45</v>
      </c>
      <c r="H25" s="1">
        <v>20.3</v>
      </c>
      <c r="I25" s="3">
        <v>0.60199999999999998</v>
      </c>
      <c r="J25" s="13">
        <f>(D25-$G$19)/$G$19</f>
        <v>0.51921817411293314</v>
      </c>
      <c r="K25" s="18">
        <f>J25-$N$19</f>
        <v>0.37791817411293316</v>
      </c>
      <c r="L25" s="15">
        <f>-($B$20/$G$12)*((K26-K25)/(B26-B25))</f>
        <v>3.160053744751778</v>
      </c>
      <c r="M25" s="15">
        <f>AVERAGE(L25,L26)</f>
        <v>1.9834379887271782</v>
      </c>
      <c r="N25">
        <f t="shared" ref="N25:N56" si="0">($G$19/$G$12)*((J25-J26)/(B26-B25))</f>
        <v>2.7689407328855791</v>
      </c>
      <c r="AA25">
        <v>1</v>
      </c>
      <c r="AB25">
        <v>348.58</v>
      </c>
    </row>
    <row r="26" spans="1:28" x14ac:dyDescent="0.3">
      <c r="B26">
        <v>10</v>
      </c>
      <c r="C26" s="2">
        <v>0.40972222222222221</v>
      </c>
      <c r="D26" s="1">
        <v>1164.2</v>
      </c>
      <c r="E26" s="1">
        <v>1.35</v>
      </c>
      <c r="F26" s="1">
        <v>21.22</v>
      </c>
      <c r="G26" s="3">
        <v>0.56399999999999995</v>
      </c>
      <c r="H26" s="1">
        <v>19.8</v>
      </c>
      <c r="I26" s="3">
        <v>0.622</v>
      </c>
      <c r="J26" s="13">
        <f t="shared" ref="J26:J56" si="1">(D26-$G$19)/$G$19</f>
        <v>0.49507506196304046</v>
      </c>
      <c r="K26" s="18">
        <f>J26-$N$19</f>
        <v>0.35377506196304043</v>
      </c>
      <c r="L26" s="15">
        <f>-($B$20/$G$12)*((K27-K26)/(B27-B26))</f>
        <v>0.80682223270257858</v>
      </c>
      <c r="M26" s="15">
        <f t="shared" ref="M26:M77" si="2">AVERAGE(L26,L27)</f>
        <v>0.79001343618795183</v>
      </c>
      <c r="N26">
        <f t="shared" si="0"/>
        <v>0.70696359137504039</v>
      </c>
      <c r="AA26">
        <v>2</v>
      </c>
      <c r="AB26">
        <v>341.29</v>
      </c>
    </row>
    <row r="27" spans="1:28" x14ac:dyDescent="0.3">
      <c r="B27">
        <v>20</v>
      </c>
      <c r="C27" s="2">
        <v>0.41666666666666702</v>
      </c>
      <c r="D27" s="1">
        <v>1159.4000000000001</v>
      </c>
      <c r="E27" s="1">
        <v>1.32</v>
      </c>
      <c r="F27" s="1">
        <v>20.8</v>
      </c>
      <c r="G27" s="3">
        <v>0.57899999999999996</v>
      </c>
      <c r="H27" s="1">
        <v>19.399999999999999</v>
      </c>
      <c r="I27" s="3">
        <v>0.627</v>
      </c>
      <c r="J27" s="13">
        <f t="shared" si="1"/>
        <v>0.48891086311625936</v>
      </c>
      <c r="K27" s="18">
        <f t="shared" ref="K27:K56" si="3">J27-$N$19</f>
        <v>0.34761086311625933</v>
      </c>
      <c r="L27" s="15">
        <f t="shared" ref="L27:L56" si="4">-($B$20/$G$12)*((K28-K27)/(B28-B27))</f>
        <v>0.77320463967332509</v>
      </c>
      <c r="M27" s="15">
        <f t="shared" si="2"/>
        <v>1.1093805699660564</v>
      </c>
      <c r="N27">
        <f t="shared" si="0"/>
        <v>0.67750677506777146</v>
      </c>
      <c r="AA27">
        <v>3</v>
      </c>
      <c r="AB27">
        <v>349.35</v>
      </c>
    </row>
    <row r="28" spans="1:28" x14ac:dyDescent="0.3">
      <c r="B28">
        <v>30</v>
      </c>
      <c r="C28" s="2">
        <v>0.42361111111111099</v>
      </c>
      <c r="D28" s="1">
        <v>1154.8</v>
      </c>
      <c r="E28" s="1">
        <v>1.25</v>
      </c>
      <c r="F28" s="1">
        <v>20.8</v>
      </c>
      <c r="G28" s="3">
        <v>0.58299999999999996</v>
      </c>
      <c r="H28" s="1">
        <v>19.2</v>
      </c>
      <c r="I28" s="3">
        <v>0.621</v>
      </c>
      <c r="J28" s="13">
        <f t="shared" si="1"/>
        <v>0.48300350588809393</v>
      </c>
      <c r="K28" s="18">
        <f t="shared" si="3"/>
        <v>0.34170350588809395</v>
      </c>
      <c r="L28" s="15">
        <f t="shared" si="4"/>
        <v>1.4455565002587878</v>
      </c>
      <c r="M28" s="15">
        <f t="shared" si="2"/>
        <v>1.3026817298843805</v>
      </c>
      <c r="N28">
        <f t="shared" si="0"/>
        <v>1.2666431012136088</v>
      </c>
      <c r="AA28">
        <v>4</v>
      </c>
      <c r="AB28">
        <v>347.7</v>
      </c>
    </row>
    <row r="29" spans="1:28" x14ac:dyDescent="0.3">
      <c r="B29">
        <v>40</v>
      </c>
      <c r="C29" s="2">
        <v>0.43055555555555503</v>
      </c>
      <c r="D29" s="1">
        <v>1146.2</v>
      </c>
      <c r="E29" s="1">
        <v>1.26</v>
      </c>
      <c r="F29" s="1">
        <v>21.1</v>
      </c>
      <c r="G29" s="3">
        <v>0.57999999999999996</v>
      </c>
      <c r="H29" s="1">
        <v>20.100000000000001</v>
      </c>
      <c r="I29" s="3">
        <v>0.622</v>
      </c>
      <c r="J29" s="13">
        <f t="shared" si="1"/>
        <v>0.47195931628761117</v>
      </c>
      <c r="K29" s="18">
        <f t="shared" si="3"/>
        <v>0.33065931628761114</v>
      </c>
      <c r="L29" s="15">
        <f t="shared" si="4"/>
        <v>1.1598069595099731</v>
      </c>
      <c r="M29" s="15">
        <f t="shared" si="2"/>
        <v>1.4287477037441538</v>
      </c>
      <c r="N29">
        <f t="shared" si="0"/>
        <v>1.016260162601635</v>
      </c>
      <c r="AB29">
        <f>SUM(AB25:AB28)</f>
        <v>1386.92</v>
      </c>
    </row>
    <row r="30" spans="1:28" x14ac:dyDescent="0.3">
      <c r="B30">
        <v>50</v>
      </c>
      <c r="C30" s="2">
        <v>0.4375</v>
      </c>
      <c r="D30" s="1">
        <v>1139.3</v>
      </c>
      <c r="E30" s="1">
        <v>1.25</v>
      </c>
      <c r="F30" s="1">
        <v>21.4</v>
      </c>
      <c r="G30" s="3">
        <v>0.57399999999999995</v>
      </c>
      <c r="H30" s="1">
        <v>20.399999999999999</v>
      </c>
      <c r="I30" s="3">
        <v>0.61199999999999999</v>
      </c>
      <c r="J30" s="13">
        <f t="shared" si="1"/>
        <v>0.46309828044536322</v>
      </c>
      <c r="K30" s="18">
        <f t="shared" si="3"/>
        <v>0.32179828044536318</v>
      </c>
      <c r="L30" s="15">
        <f t="shared" si="4"/>
        <v>1.6976884479783345</v>
      </c>
      <c r="M30" s="15">
        <f t="shared" si="2"/>
        <v>1.420343305486826</v>
      </c>
      <c r="N30">
        <f t="shared" si="0"/>
        <v>1.4875692235183071</v>
      </c>
    </row>
    <row r="31" spans="1:28" x14ac:dyDescent="0.3">
      <c r="B31">
        <v>60</v>
      </c>
      <c r="C31" s="2">
        <v>0.44444444444444398</v>
      </c>
      <c r="D31" s="1">
        <v>1129.2</v>
      </c>
      <c r="E31" s="1">
        <v>1.21</v>
      </c>
      <c r="F31" s="1">
        <v>21.8</v>
      </c>
      <c r="G31" s="3">
        <v>0.56699999999999995</v>
      </c>
      <c r="H31" s="1">
        <v>20.7</v>
      </c>
      <c r="I31" s="3">
        <v>0.60699999999999998</v>
      </c>
      <c r="J31" s="13">
        <f t="shared" si="1"/>
        <v>0.45012777870526138</v>
      </c>
      <c r="K31" s="18">
        <f t="shared" si="3"/>
        <v>0.30882777870526135</v>
      </c>
      <c r="L31" s="15">
        <f t="shared" si="4"/>
        <v>1.1429981629953172</v>
      </c>
      <c r="M31" s="15">
        <f t="shared" si="2"/>
        <v>1.1934245525392411</v>
      </c>
      <c r="N31">
        <f t="shared" si="0"/>
        <v>1.0015317544479783</v>
      </c>
    </row>
    <row r="32" spans="1:28" x14ac:dyDescent="0.3">
      <c r="B32">
        <v>70</v>
      </c>
      <c r="C32" s="2">
        <v>0.45138888888888901</v>
      </c>
      <c r="D32" s="1">
        <v>1122.4000000000001</v>
      </c>
      <c r="E32" s="1">
        <v>1.21</v>
      </c>
      <c r="F32" s="1">
        <v>22.1</v>
      </c>
      <c r="G32" s="3">
        <v>0.56200000000000006</v>
      </c>
      <c r="H32" s="1">
        <v>20.9</v>
      </c>
      <c r="I32" s="3">
        <v>0.60299999999999998</v>
      </c>
      <c r="J32" s="13">
        <f t="shared" si="1"/>
        <v>0.44139516367232146</v>
      </c>
      <c r="K32" s="18">
        <f t="shared" si="3"/>
        <v>0.30009516367232147</v>
      </c>
      <c r="L32" s="15">
        <f t="shared" si="4"/>
        <v>1.2438509420831649</v>
      </c>
      <c r="M32" s="15">
        <f t="shared" si="2"/>
        <v>1.3531081194283043</v>
      </c>
      <c r="N32">
        <f t="shared" si="0"/>
        <v>1.0899022033698678</v>
      </c>
    </row>
    <row r="33" spans="2:14" x14ac:dyDescent="0.3">
      <c r="B33">
        <v>80</v>
      </c>
      <c r="C33" s="2">
        <v>0.45833333333333298</v>
      </c>
      <c r="D33" s="1">
        <v>1115</v>
      </c>
      <c r="E33" s="1">
        <v>1.2</v>
      </c>
      <c r="F33" s="1">
        <v>22.3</v>
      </c>
      <c r="G33" s="3">
        <v>0.55900000000000005</v>
      </c>
      <c r="H33" s="1">
        <v>21.2</v>
      </c>
      <c r="I33" s="3">
        <v>0.59699999999999998</v>
      </c>
      <c r="J33" s="13">
        <f t="shared" si="1"/>
        <v>0.43189202378353381</v>
      </c>
      <c r="K33" s="18">
        <f t="shared" si="3"/>
        <v>0.29059202378353377</v>
      </c>
      <c r="L33" s="15">
        <f t="shared" si="4"/>
        <v>1.4623652967734437</v>
      </c>
      <c r="M33" s="15">
        <f t="shared" si="2"/>
        <v>1.4959828898027046</v>
      </c>
      <c r="N33">
        <f t="shared" si="0"/>
        <v>1.2813715093672782</v>
      </c>
    </row>
    <row r="34" spans="2:14" x14ac:dyDescent="0.3">
      <c r="B34">
        <v>90</v>
      </c>
      <c r="C34" s="2">
        <v>0.46527777777777801</v>
      </c>
      <c r="D34" s="1">
        <v>1106.3</v>
      </c>
      <c r="E34" s="1">
        <v>1.2</v>
      </c>
      <c r="F34" s="1">
        <v>22.6</v>
      </c>
      <c r="G34" s="3">
        <v>0.55900000000000005</v>
      </c>
      <c r="H34" s="1">
        <v>21.3</v>
      </c>
      <c r="I34" s="3">
        <v>0.59499999999999997</v>
      </c>
      <c r="J34" s="13">
        <f t="shared" si="1"/>
        <v>0.42071941337374291</v>
      </c>
      <c r="K34" s="18">
        <f t="shared" si="3"/>
        <v>0.27941941337374288</v>
      </c>
      <c r="L34" s="15">
        <f t="shared" si="4"/>
        <v>1.5296004828319651</v>
      </c>
      <c r="M34" s="15">
        <f t="shared" si="2"/>
        <v>1.3278949246563279</v>
      </c>
      <c r="N34">
        <f t="shared" si="0"/>
        <v>1.3402851419818416</v>
      </c>
    </row>
    <row r="35" spans="2:14" x14ac:dyDescent="0.3">
      <c r="B35">
        <v>100</v>
      </c>
      <c r="C35" s="2">
        <v>0.47222222222222199</v>
      </c>
      <c r="D35" s="1">
        <v>1097.2</v>
      </c>
      <c r="E35" s="1">
        <v>1.2</v>
      </c>
      <c r="F35" s="1">
        <v>22.7</v>
      </c>
      <c r="G35" s="3">
        <v>0.55400000000000005</v>
      </c>
      <c r="H35" s="1">
        <v>21.5</v>
      </c>
      <c r="I35" s="3">
        <v>0.59299999999999997</v>
      </c>
      <c r="J35" s="13">
        <f t="shared" si="1"/>
        <v>0.40903311972672046</v>
      </c>
      <c r="K35" s="18">
        <f t="shared" si="3"/>
        <v>0.26773311972672043</v>
      </c>
      <c r="L35" s="15">
        <f t="shared" si="4"/>
        <v>1.1261893664806906</v>
      </c>
      <c r="M35" s="15">
        <f t="shared" si="2"/>
        <v>1.1682113577672846</v>
      </c>
      <c r="N35">
        <f t="shared" si="0"/>
        <v>0.98680334629434041</v>
      </c>
    </row>
    <row r="36" spans="2:14" x14ac:dyDescent="0.3">
      <c r="B36">
        <v>110</v>
      </c>
      <c r="C36" s="2">
        <v>0.47916666666666602</v>
      </c>
      <c r="D36" s="1">
        <v>1090.5</v>
      </c>
      <c r="E36" s="1">
        <v>1.2</v>
      </c>
      <c r="F36" s="1">
        <v>22.7</v>
      </c>
      <c r="G36" s="3">
        <v>0.55400000000000005</v>
      </c>
      <c r="H36" s="1">
        <v>21.6</v>
      </c>
      <c r="I36" s="3">
        <v>0.59099999999999997</v>
      </c>
      <c r="J36" s="13">
        <f t="shared" si="1"/>
        <v>0.4004289255030884</v>
      </c>
      <c r="K36" s="18">
        <f t="shared" si="3"/>
        <v>0.25912892550308841</v>
      </c>
      <c r="L36" s="15">
        <f t="shared" si="4"/>
        <v>1.2102333490538788</v>
      </c>
      <c r="M36" s="15">
        <f t="shared" si="2"/>
        <v>1.243850942083145</v>
      </c>
      <c r="N36">
        <f t="shared" si="0"/>
        <v>1.060445387062567</v>
      </c>
    </row>
    <row r="37" spans="2:14" x14ac:dyDescent="0.3">
      <c r="B37">
        <v>120</v>
      </c>
      <c r="C37" s="2">
        <v>0.48611111111111099</v>
      </c>
      <c r="D37" s="1">
        <v>1083.3</v>
      </c>
      <c r="E37" s="1">
        <v>1.2</v>
      </c>
      <c r="F37" s="1">
        <v>23</v>
      </c>
      <c r="G37" s="3">
        <v>0.54300000000000004</v>
      </c>
      <c r="H37" s="1">
        <v>21.7</v>
      </c>
      <c r="I37" s="3">
        <v>0.57899999999999996</v>
      </c>
      <c r="J37" s="13">
        <f t="shared" si="1"/>
        <v>0.39118262723291669</v>
      </c>
      <c r="K37" s="18">
        <f t="shared" si="3"/>
        <v>0.24988262723291668</v>
      </c>
      <c r="L37" s="15">
        <f t="shared" si="4"/>
        <v>1.2774685351124113</v>
      </c>
      <c r="M37" s="15">
        <f t="shared" si="2"/>
        <v>1.2018289507965545</v>
      </c>
      <c r="N37">
        <f t="shared" si="0"/>
        <v>1.119359019677143</v>
      </c>
    </row>
    <row r="38" spans="2:14" x14ac:dyDescent="0.3">
      <c r="B38">
        <v>130</v>
      </c>
      <c r="C38" s="2">
        <v>0.49305555555555503</v>
      </c>
      <c r="D38" s="1">
        <v>1075.7</v>
      </c>
      <c r="E38" s="1">
        <v>1.07</v>
      </c>
      <c r="F38" s="1">
        <v>23.1</v>
      </c>
      <c r="G38" s="3">
        <v>0.54200000000000004</v>
      </c>
      <c r="H38" s="1">
        <v>21.9</v>
      </c>
      <c r="I38" s="3">
        <v>0.58199999999999996</v>
      </c>
      <c r="J38" s="13">
        <f t="shared" si="1"/>
        <v>0.38142264572551332</v>
      </c>
      <c r="K38" s="18">
        <f t="shared" si="3"/>
        <v>0.24012264572551331</v>
      </c>
      <c r="L38" s="15">
        <f t="shared" si="4"/>
        <v>1.1261893664806977</v>
      </c>
      <c r="M38" s="15">
        <f t="shared" si="2"/>
        <v>1.1261893664806977</v>
      </c>
      <c r="N38">
        <f t="shared" si="0"/>
        <v>0.98680334629434041</v>
      </c>
    </row>
    <row r="39" spans="2:14" x14ac:dyDescent="0.3">
      <c r="B39">
        <v>140</v>
      </c>
      <c r="C39" s="2">
        <v>0.5</v>
      </c>
      <c r="D39" s="1">
        <v>1069</v>
      </c>
      <c r="E39" s="1">
        <v>1.1000000000000001</v>
      </c>
      <c r="F39" s="1">
        <v>23.2</v>
      </c>
      <c r="G39" s="3">
        <v>0.54100000000000004</v>
      </c>
      <c r="H39" s="1">
        <v>22</v>
      </c>
      <c r="I39" s="3">
        <v>0.57899999999999996</v>
      </c>
      <c r="J39" s="13">
        <f t="shared" si="1"/>
        <v>0.37281845150188125</v>
      </c>
      <c r="K39" s="18">
        <f t="shared" si="3"/>
        <v>0.23151845150188125</v>
      </c>
      <c r="L39" s="15">
        <f t="shared" si="4"/>
        <v>1.1261893664806977</v>
      </c>
      <c r="M39" s="15">
        <f t="shared" si="2"/>
        <v>1.1850201542819097</v>
      </c>
      <c r="N39">
        <f t="shared" si="0"/>
        <v>0.98680334629434041</v>
      </c>
    </row>
    <row r="40" spans="2:14" x14ac:dyDescent="0.3">
      <c r="B40">
        <v>150</v>
      </c>
      <c r="C40" s="2">
        <v>0.50694444444444398</v>
      </c>
      <c r="D40" s="1">
        <v>1062.3</v>
      </c>
      <c r="E40" s="1">
        <v>1</v>
      </c>
      <c r="F40" s="1">
        <v>23.3</v>
      </c>
      <c r="G40" s="3">
        <v>0.54400000000000004</v>
      </c>
      <c r="H40" s="1">
        <v>22.1</v>
      </c>
      <c r="I40" s="3">
        <v>0.57899999999999996</v>
      </c>
      <c r="J40" s="13">
        <f t="shared" si="1"/>
        <v>0.36421425727824919</v>
      </c>
      <c r="K40" s="18">
        <f t="shared" si="3"/>
        <v>0.22291425727824918</v>
      </c>
      <c r="L40" s="15">
        <f t="shared" si="4"/>
        <v>1.2438509420831214</v>
      </c>
      <c r="M40" s="15">
        <f t="shared" si="2"/>
        <v>1.0253365873928681</v>
      </c>
      <c r="N40">
        <f t="shared" si="0"/>
        <v>1.0899022033698358</v>
      </c>
    </row>
    <row r="41" spans="2:14" x14ac:dyDescent="0.3">
      <c r="B41">
        <v>160</v>
      </c>
      <c r="C41" s="2">
        <v>0.51388888888888895</v>
      </c>
      <c r="D41" s="1">
        <v>1054.9000000000001</v>
      </c>
      <c r="E41" s="1">
        <v>1</v>
      </c>
      <c r="F41" s="1">
        <v>23.4</v>
      </c>
      <c r="G41" s="3">
        <v>0.54</v>
      </c>
      <c r="H41" s="1">
        <v>22.2</v>
      </c>
      <c r="I41" s="3">
        <v>0.57199999999999995</v>
      </c>
      <c r="J41" s="13">
        <f t="shared" si="1"/>
        <v>0.35471111738946182</v>
      </c>
      <c r="K41" s="18">
        <f t="shared" si="3"/>
        <v>0.21341111738946181</v>
      </c>
      <c r="L41" s="15">
        <f t="shared" si="4"/>
        <v>0.80682223270261499</v>
      </c>
      <c r="M41" s="15">
        <f t="shared" si="2"/>
        <v>1.1682113577672901</v>
      </c>
      <c r="N41">
        <f t="shared" si="0"/>
        <v>0.70696359137507225</v>
      </c>
    </row>
    <row r="42" spans="2:14" x14ac:dyDescent="0.3">
      <c r="B42">
        <v>170</v>
      </c>
      <c r="C42" s="2">
        <v>0.52083333333333304</v>
      </c>
      <c r="D42" s="1">
        <v>1050.0999999999999</v>
      </c>
      <c r="E42" s="1">
        <v>0.9</v>
      </c>
      <c r="F42" s="1">
        <v>23.6</v>
      </c>
      <c r="G42" s="3">
        <v>0.53200000000000003</v>
      </c>
      <c r="H42" s="1">
        <v>22.2</v>
      </c>
      <c r="I42" s="3">
        <v>0.56999999999999995</v>
      </c>
      <c r="J42" s="13">
        <f t="shared" si="1"/>
        <v>0.34854691854268044</v>
      </c>
      <c r="K42" s="18">
        <f t="shared" si="3"/>
        <v>0.20724691854268043</v>
      </c>
      <c r="L42" s="15">
        <f t="shared" si="4"/>
        <v>1.5296004828319651</v>
      </c>
      <c r="M42" s="15">
        <f t="shared" si="2"/>
        <v>1.218637747311192</v>
      </c>
      <c r="N42">
        <f t="shared" si="0"/>
        <v>1.3402851419818416</v>
      </c>
    </row>
    <row r="43" spans="2:14" x14ac:dyDescent="0.3">
      <c r="B43">
        <v>180</v>
      </c>
      <c r="C43" s="2">
        <v>0.52777777777777801</v>
      </c>
      <c r="D43" s="1">
        <v>1041</v>
      </c>
      <c r="E43" s="1">
        <v>1.1000000000000001</v>
      </c>
      <c r="F43" s="1">
        <v>23.8</v>
      </c>
      <c r="G43" s="3">
        <v>0.53500000000000003</v>
      </c>
      <c r="H43" s="1">
        <v>22.5</v>
      </c>
      <c r="I43" s="3">
        <v>0.56999999999999995</v>
      </c>
      <c r="J43" s="13">
        <f t="shared" si="1"/>
        <v>0.33686062489565799</v>
      </c>
      <c r="K43" s="18">
        <f t="shared" si="3"/>
        <v>0.19556062489565798</v>
      </c>
      <c r="L43" s="15">
        <f t="shared" si="4"/>
        <v>0.90767501179041898</v>
      </c>
      <c r="M43" s="15">
        <f t="shared" si="2"/>
        <v>0.96650579959163441</v>
      </c>
      <c r="N43">
        <f t="shared" si="0"/>
        <v>0.79533404029693633</v>
      </c>
    </row>
    <row r="44" spans="2:14" x14ac:dyDescent="0.3">
      <c r="B44">
        <v>190</v>
      </c>
      <c r="C44" s="2">
        <v>0.53472222222222199</v>
      </c>
      <c r="D44" s="1">
        <v>1035.5999999999999</v>
      </c>
      <c r="E44" s="1">
        <v>1.1000000000000001</v>
      </c>
      <c r="F44" s="1">
        <v>23.7</v>
      </c>
      <c r="G44" s="3">
        <v>0.53800000000000003</v>
      </c>
      <c r="H44" s="1">
        <v>22.5</v>
      </c>
      <c r="I44" s="3">
        <v>0.57199999999999995</v>
      </c>
      <c r="J44" s="13">
        <f t="shared" si="1"/>
        <v>0.32992590119302911</v>
      </c>
      <c r="K44" s="18">
        <f t="shared" si="3"/>
        <v>0.18862590119302911</v>
      </c>
      <c r="L44" s="15">
        <f t="shared" si="4"/>
        <v>1.0253365873928499</v>
      </c>
      <c r="M44" s="15">
        <f t="shared" si="2"/>
        <v>1.0589541804221327</v>
      </c>
      <c r="N44">
        <f t="shared" si="0"/>
        <v>0.89843289737243803</v>
      </c>
    </row>
    <row r="45" spans="2:14" x14ac:dyDescent="0.3">
      <c r="B45">
        <v>200</v>
      </c>
      <c r="C45" s="2">
        <v>0.54166666666666596</v>
      </c>
      <c r="D45" s="1">
        <v>1029.5</v>
      </c>
      <c r="E45" s="1">
        <v>1.1000000000000001</v>
      </c>
      <c r="F45" s="1">
        <v>24</v>
      </c>
      <c r="G45" s="3">
        <v>0.53100000000000003</v>
      </c>
      <c r="H45" s="1">
        <v>22.6</v>
      </c>
      <c r="I45" s="3">
        <v>0.56999999999999995</v>
      </c>
      <c r="J45" s="13">
        <f t="shared" si="1"/>
        <v>0.32209223182524488</v>
      </c>
      <c r="K45" s="18">
        <f t="shared" si="3"/>
        <v>0.18079223182524487</v>
      </c>
      <c r="L45" s="15">
        <f t="shared" si="4"/>
        <v>1.0925717734514153</v>
      </c>
      <c r="M45" s="15">
        <f t="shared" si="2"/>
        <v>1.1093805699660564</v>
      </c>
      <c r="N45">
        <f t="shared" si="0"/>
        <v>0.95734652998703973</v>
      </c>
    </row>
    <row r="46" spans="2:14" x14ac:dyDescent="0.3">
      <c r="B46">
        <v>210</v>
      </c>
      <c r="C46" s="2">
        <v>0.54861111111111105</v>
      </c>
      <c r="D46" s="1">
        <v>1023</v>
      </c>
      <c r="E46" s="1">
        <v>1.1000000000000001</v>
      </c>
      <c r="F46" s="1">
        <v>24</v>
      </c>
      <c r="G46" s="3">
        <v>0.53400000000000003</v>
      </c>
      <c r="H46" s="1">
        <v>22.6</v>
      </c>
      <c r="I46" s="3">
        <v>0.56899999999999995</v>
      </c>
      <c r="J46" s="13">
        <f t="shared" si="1"/>
        <v>0.31374487922022876</v>
      </c>
      <c r="K46" s="18">
        <f t="shared" si="3"/>
        <v>0.17244487922022875</v>
      </c>
      <c r="L46" s="15">
        <f t="shared" si="4"/>
        <v>1.1261893664806977</v>
      </c>
      <c r="M46" s="15">
        <f t="shared" si="2"/>
        <v>1.0085277908782304</v>
      </c>
      <c r="N46">
        <f t="shared" si="0"/>
        <v>0.98680334629434041</v>
      </c>
    </row>
    <row r="47" spans="2:14" x14ac:dyDescent="0.3">
      <c r="B47">
        <v>220</v>
      </c>
      <c r="C47" s="2">
        <v>0.55555555555555503</v>
      </c>
      <c r="D47" s="1">
        <v>1016.3</v>
      </c>
      <c r="E47" s="1">
        <v>1.1000000000000001</v>
      </c>
      <c r="F47" s="1">
        <v>24.1</v>
      </c>
      <c r="G47" s="3">
        <v>0.52300000000000002</v>
      </c>
      <c r="H47" s="1">
        <v>22.7</v>
      </c>
      <c r="I47" s="3">
        <v>0.55800000000000005</v>
      </c>
      <c r="J47" s="13">
        <f t="shared" si="1"/>
        <v>0.30514068499659669</v>
      </c>
      <c r="K47" s="18">
        <f t="shared" si="3"/>
        <v>0.16384068499659668</v>
      </c>
      <c r="L47" s="15">
        <f t="shared" si="4"/>
        <v>0.89086621527576326</v>
      </c>
      <c r="M47" s="15">
        <f t="shared" si="2"/>
        <v>1.0337409856501816</v>
      </c>
      <c r="N47">
        <f t="shared" si="0"/>
        <v>0.78060563214327316</v>
      </c>
    </row>
    <row r="48" spans="2:14" x14ac:dyDescent="0.3">
      <c r="B48">
        <v>230</v>
      </c>
      <c r="C48" s="2">
        <v>0.5625</v>
      </c>
      <c r="D48" s="1">
        <v>1011</v>
      </c>
      <c r="E48" s="1">
        <v>1.1000000000000001</v>
      </c>
      <c r="F48" s="1">
        <v>24.1</v>
      </c>
      <c r="G48" s="3">
        <v>0.52300000000000002</v>
      </c>
      <c r="H48" s="1">
        <v>22.8</v>
      </c>
      <c r="I48" s="3">
        <v>0.55700000000000005</v>
      </c>
      <c r="J48" s="13">
        <f t="shared" si="1"/>
        <v>0.2983343821032759</v>
      </c>
      <c r="K48" s="18">
        <f t="shared" si="3"/>
        <v>0.15703438210327589</v>
      </c>
      <c r="L48" s="15">
        <f t="shared" si="4"/>
        <v>1.1766157560245998</v>
      </c>
      <c r="M48" s="15">
        <f t="shared" si="2"/>
        <v>0.92448380830504218</v>
      </c>
      <c r="N48">
        <f t="shared" si="0"/>
        <v>1.0309885707552726</v>
      </c>
    </row>
    <row r="49" spans="2:14" x14ac:dyDescent="0.3">
      <c r="B49">
        <v>240</v>
      </c>
      <c r="C49" s="2">
        <v>0.56944444444444398</v>
      </c>
      <c r="D49" s="1">
        <v>1004</v>
      </c>
      <c r="E49" s="1">
        <v>1.1000000000000001</v>
      </c>
      <c r="F49" s="1">
        <v>24.3</v>
      </c>
      <c r="G49" s="3">
        <v>0.51800000000000002</v>
      </c>
      <c r="H49" s="1">
        <v>22.9</v>
      </c>
      <c r="I49" s="3">
        <v>0.55200000000000005</v>
      </c>
      <c r="J49" s="13">
        <f t="shared" si="1"/>
        <v>0.28934492545172008</v>
      </c>
      <c r="K49" s="18">
        <f t="shared" si="3"/>
        <v>0.14804492545172007</v>
      </c>
      <c r="L49" s="15">
        <f t="shared" si="4"/>
        <v>0.67235186058548457</v>
      </c>
      <c r="M49" s="15">
        <f t="shared" si="2"/>
        <v>0.75639584315866926</v>
      </c>
      <c r="N49">
        <f t="shared" si="0"/>
        <v>0.58913632614586908</v>
      </c>
    </row>
    <row r="50" spans="2:14" x14ac:dyDescent="0.3">
      <c r="B50">
        <v>250</v>
      </c>
      <c r="C50" s="2">
        <v>0.57638888888888795</v>
      </c>
      <c r="D50" s="1">
        <v>1000</v>
      </c>
      <c r="E50" s="1">
        <v>1.1000000000000001</v>
      </c>
      <c r="F50" s="1">
        <v>24.2</v>
      </c>
      <c r="G50" s="3">
        <v>0.51900000000000002</v>
      </c>
      <c r="H50" s="1">
        <v>22.8</v>
      </c>
      <c r="I50" s="3">
        <v>0.55400000000000005</v>
      </c>
      <c r="J50" s="13">
        <f t="shared" si="1"/>
        <v>0.28420809307940248</v>
      </c>
      <c r="K50" s="18">
        <f t="shared" si="3"/>
        <v>0.14290809307940247</v>
      </c>
      <c r="L50" s="15">
        <f t="shared" si="4"/>
        <v>0.84043982573185383</v>
      </c>
      <c r="M50" s="15">
        <f t="shared" si="2"/>
        <v>0.84043982573185749</v>
      </c>
      <c r="N50">
        <f t="shared" si="0"/>
        <v>0.73642040768233474</v>
      </c>
    </row>
    <row r="51" spans="2:14" x14ac:dyDescent="0.3">
      <c r="B51">
        <v>260</v>
      </c>
      <c r="C51" s="2">
        <v>0.58333333333333304</v>
      </c>
      <c r="D51" s="1">
        <v>995</v>
      </c>
      <c r="E51" s="1">
        <v>1.1000000000000001</v>
      </c>
      <c r="F51" s="1">
        <v>24.2</v>
      </c>
      <c r="G51" s="3">
        <v>0.52</v>
      </c>
      <c r="H51" s="1">
        <v>22.9</v>
      </c>
      <c r="I51" s="3">
        <v>0.55300000000000005</v>
      </c>
      <c r="J51" s="13">
        <f t="shared" si="1"/>
        <v>0.27778705261400549</v>
      </c>
      <c r="K51" s="18">
        <f t="shared" si="3"/>
        <v>0.13648705261400548</v>
      </c>
      <c r="L51" s="15">
        <f t="shared" si="4"/>
        <v>0.84043982573186116</v>
      </c>
      <c r="M51" s="15">
        <f t="shared" si="2"/>
        <v>0.92448380830504218</v>
      </c>
      <c r="N51">
        <f t="shared" si="0"/>
        <v>0.73642040768234107</v>
      </c>
    </row>
    <row r="52" spans="2:14" x14ac:dyDescent="0.3">
      <c r="B52">
        <v>270</v>
      </c>
      <c r="C52" s="2">
        <v>0.59027777777777701</v>
      </c>
      <c r="D52" s="1">
        <v>990</v>
      </c>
      <c r="E52" s="1">
        <v>1.1000000000000001</v>
      </c>
      <c r="F52" s="1">
        <v>24.5</v>
      </c>
      <c r="G52" s="3">
        <v>0.50800000000000001</v>
      </c>
      <c r="H52" s="1">
        <v>23.1</v>
      </c>
      <c r="I52" s="3">
        <v>0.54100000000000004</v>
      </c>
      <c r="J52" s="13">
        <f t="shared" si="1"/>
        <v>0.27136601214860845</v>
      </c>
      <c r="K52" s="18">
        <f t="shared" si="3"/>
        <v>0.13006601214860844</v>
      </c>
      <c r="L52" s="15">
        <f t="shared" si="4"/>
        <v>1.0085277908782233</v>
      </c>
      <c r="M52" s="15">
        <f t="shared" si="2"/>
        <v>0.84043982573185394</v>
      </c>
      <c r="N52">
        <f t="shared" si="0"/>
        <v>0.88370448921880052</v>
      </c>
    </row>
    <row r="53" spans="2:14" x14ac:dyDescent="0.3">
      <c r="B53">
        <v>280</v>
      </c>
      <c r="C53" s="2">
        <v>0.59722222222222199</v>
      </c>
      <c r="D53" s="1">
        <v>984</v>
      </c>
      <c r="E53" s="1">
        <v>1.1000000000000001</v>
      </c>
      <c r="F53" s="1">
        <v>24.6</v>
      </c>
      <c r="G53" s="3">
        <v>0.5</v>
      </c>
      <c r="H53" s="1">
        <v>23.1</v>
      </c>
      <c r="I53" s="3">
        <v>0.53600000000000003</v>
      </c>
      <c r="J53" s="13">
        <f t="shared" si="1"/>
        <v>0.26366076359013207</v>
      </c>
      <c r="K53" s="18">
        <f t="shared" si="3"/>
        <v>0.12236076359013207</v>
      </c>
      <c r="L53" s="15">
        <f t="shared" si="4"/>
        <v>0.67235186058548457</v>
      </c>
      <c r="M53" s="15">
        <f t="shared" si="2"/>
        <v>0.92448380830504406</v>
      </c>
      <c r="N53">
        <f t="shared" si="0"/>
        <v>0.58913632614586908</v>
      </c>
    </row>
    <row r="54" spans="2:14" x14ac:dyDescent="0.3">
      <c r="B54">
        <v>290</v>
      </c>
      <c r="C54" s="2">
        <v>0.60416666666666596</v>
      </c>
      <c r="D54" s="1">
        <v>980</v>
      </c>
      <c r="E54" s="1">
        <v>1.1000000000000001</v>
      </c>
      <c r="F54" s="1">
        <v>24.6</v>
      </c>
      <c r="G54" s="3">
        <v>0.502</v>
      </c>
      <c r="H54" s="1">
        <v>23.3</v>
      </c>
      <c r="I54" s="3">
        <v>0.53200000000000003</v>
      </c>
      <c r="J54" s="13">
        <f t="shared" si="1"/>
        <v>0.25852393121781447</v>
      </c>
      <c r="K54" s="18">
        <f t="shared" si="3"/>
        <v>0.11722393121781446</v>
      </c>
      <c r="L54" s="15">
        <f t="shared" si="4"/>
        <v>1.1766157560246036</v>
      </c>
      <c r="M54" s="15">
        <f t="shared" si="2"/>
        <v>0.84043982573185938</v>
      </c>
      <c r="N54">
        <f t="shared" si="0"/>
        <v>1.0309885707552757</v>
      </c>
    </row>
    <row r="55" spans="2:14" x14ac:dyDescent="0.3">
      <c r="B55">
        <v>300</v>
      </c>
      <c r="C55" s="2">
        <v>0.61111111111111105</v>
      </c>
      <c r="D55" s="1">
        <v>973</v>
      </c>
      <c r="E55" s="1">
        <v>1.2</v>
      </c>
      <c r="F55" s="1">
        <v>24.8</v>
      </c>
      <c r="G55" s="3">
        <v>0.501</v>
      </c>
      <c r="H55" s="1">
        <v>23.3</v>
      </c>
      <c r="I55" s="3">
        <v>0.53500000000000003</v>
      </c>
      <c r="J55" s="13">
        <f t="shared" si="1"/>
        <v>0.24953447456625863</v>
      </c>
      <c r="K55" s="18">
        <f t="shared" si="3"/>
        <v>0.10823447456625862</v>
      </c>
      <c r="L55" s="15">
        <f t="shared" si="4"/>
        <v>0.50426389543911521</v>
      </c>
      <c r="M55" s="15">
        <f t="shared" si="2"/>
        <v>0.75639584315867103</v>
      </c>
      <c r="N55">
        <f t="shared" si="0"/>
        <v>0.44185224460940342</v>
      </c>
    </row>
    <row r="56" spans="2:14" x14ac:dyDescent="0.3">
      <c r="B56">
        <v>310</v>
      </c>
      <c r="C56" s="2">
        <v>0.61805555555555558</v>
      </c>
      <c r="D56" s="1">
        <v>970</v>
      </c>
      <c r="E56" s="1">
        <v>1.2</v>
      </c>
      <c r="F56" s="1">
        <v>24.7</v>
      </c>
      <c r="G56" s="3">
        <v>0.503</v>
      </c>
      <c r="H56" s="1">
        <v>23.3</v>
      </c>
      <c r="I56" s="3">
        <v>0.53300000000000003</v>
      </c>
      <c r="J56" s="13">
        <f t="shared" si="1"/>
        <v>0.24568185028702041</v>
      </c>
      <c r="K56" s="18">
        <f t="shared" si="3"/>
        <v>0.10438185028702041</v>
      </c>
      <c r="L56" s="15">
        <f t="shared" si="4"/>
        <v>1.0085277908782269</v>
      </c>
      <c r="M56" s="15">
        <f t="shared" si="2"/>
        <v>0.84043982573185749</v>
      </c>
      <c r="N56">
        <f t="shared" si="0"/>
        <v>0.88370448921880373</v>
      </c>
    </row>
    <row r="57" spans="2:14" x14ac:dyDescent="0.3">
      <c r="B57">
        <v>320</v>
      </c>
      <c r="C57" s="2">
        <v>0.625</v>
      </c>
      <c r="D57" s="1">
        <v>964</v>
      </c>
      <c r="E57" s="1">
        <v>1.3</v>
      </c>
      <c r="F57" s="1">
        <v>24.8</v>
      </c>
      <c r="G57" s="3">
        <v>0.5</v>
      </c>
      <c r="H57" s="1">
        <v>23.4</v>
      </c>
      <c r="I57" s="3">
        <v>0.53400000000000003</v>
      </c>
      <c r="J57" s="13">
        <f t="shared" ref="J57:J78" si="5">(D57-$G$19)/$G$19</f>
        <v>0.23797660172854401</v>
      </c>
      <c r="K57" s="18">
        <f t="shared" ref="K57:K78" si="6">J57-$N$19</f>
        <v>9.6676601728544004E-2</v>
      </c>
      <c r="L57" s="15">
        <f t="shared" ref="L57:L78" si="7">-($B$20/$G$12)*((K58-K57)/(B58-B57))</f>
        <v>0.67235186058548824</v>
      </c>
      <c r="M57" s="15">
        <f t="shared" si="2"/>
        <v>0.75639584315867103</v>
      </c>
      <c r="N57">
        <f t="shared" ref="N57:N77" si="8">($G$19/$G$12)*((J57-J58)/(B58-B57))</f>
        <v>0.5891363261458723</v>
      </c>
    </row>
    <row r="58" spans="2:14" x14ac:dyDescent="0.3">
      <c r="B58">
        <v>330</v>
      </c>
      <c r="C58" s="2">
        <v>0.63194444444444442</v>
      </c>
      <c r="D58" s="1">
        <v>960</v>
      </c>
      <c r="E58" s="1">
        <v>1.3</v>
      </c>
      <c r="F58" s="1">
        <v>24.8</v>
      </c>
      <c r="G58" s="3">
        <v>0.504</v>
      </c>
      <c r="H58" s="1">
        <v>23.3</v>
      </c>
      <c r="I58" s="3">
        <v>0.53600000000000003</v>
      </c>
      <c r="J58" s="13">
        <f t="shared" si="5"/>
        <v>0.23283976935622638</v>
      </c>
      <c r="K58" s="18">
        <f t="shared" si="6"/>
        <v>9.1539769356226375E-2</v>
      </c>
      <c r="L58" s="15">
        <f t="shared" si="7"/>
        <v>0.84043982573185383</v>
      </c>
      <c r="M58" s="15">
        <f t="shared" si="2"/>
        <v>0.84043982573185572</v>
      </c>
      <c r="N58">
        <f t="shared" si="8"/>
        <v>0.73642040768233474</v>
      </c>
    </row>
    <row r="59" spans="2:14" x14ac:dyDescent="0.3">
      <c r="B59">
        <v>340</v>
      </c>
      <c r="C59" s="2">
        <v>0.63888888888888884</v>
      </c>
      <c r="D59" s="1">
        <v>955</v>
      </c>
      <c r="E59" s="1">
        <v>1.4</v>
      </c>
      <c r="F59" s="1">
        <v>24.9</v>
      </c>
      <c r="G59" s="3">
        <v>0.505</v>
      </c>
      <c r="H59" s="1">
        <v>23.5</v>
      </c>
      <c r="I59" s="3">
        <v>0.53500000000000003</v>
      </c>
      <c r="J59" s="13">
        <f t="shared" si="5"/>
        <v>0.2264187288908294</v>
      </c>
      <c r="K59" s="18">
        <f t="shared" si="6"/>
        <v>8.5118728890829387E-2</v>
      </c>
      <c r="L59" s="15">
        <f t="shared" si="7"/>
        <v>0.8404398257318576</v>
      </c>
      <c r="M59" s="15">
        <f t="shared" si="2"/>
        <v>0.75639584315867292</v>
      </c>
      <c r="N59">
        <f t="shared" si="8"/>
        <v>0.73642040768233796</v>
      </c>
    </row>
    <row r="60" spans="2:14" x14ac:dyDescent="0.3">
      <c r="B60">
        <v>350</v>
      </c>
      <c r="C60" s="2">
        <v>0.64583333333333337</v>
      </c>
      <c r="D60" s="1">
        <v>950</v>
      </c>
      <c r="E60" s="1">
        <v>1.3</v>
      </c>
      <c r="F60" s="1">
        <v>24.9</v>
      </c>
      <c r="G60" s="3">
        <v>0.50600000000000001</v>
      </c>
      <c r="H60" s="1">
        <v>23.5</v>
      </c>
      <c r="I60" s="3">
        <v>0.53500000000000003</v>
      </c>
      <c r="J60" s="13">
        <f t="shared" si="5"/>
        <v>0.21999768842543238</v>
      </c>
      <c r="K60" s="18">
        <f t="shared" si="6"/>
        <v>7.8697688425432372E-2</v>
      </c>
      <c r="L60" s="15">
        <f t="shared" si="7"/>
        <v>0.67235186058548824</v>
      </c>
      <c r="M60" s="15">
        <f t="shared" si="2"/>
        <v>0.58830787801229989</v>
      </c>
      <c r="N60">
        <f t="shared" si="8"/>
        <v>0.5891363261458723</v>
      </c>
    </row>
    <row r="61" spans="2:14" x14ac:dyDescent="0.3">
      <c r="B61">
        <v>360</v>
      </c>
      <c r="C61" s="2">
        <v>0.65277777777777779</v>
      </c>
      <c r="D61" s="1">
        <v>946</v>
      </c>
      <c r="E61" s="1">
        <v>1.3</v>
      </c>
      <c r="F61" s="1">
        <v>25</v>
      </c>
      <c r="G61" s="3">
        <v>0.49399999999999999</v>
      </c>
      <c r="H61" s="1">
        <v>23.6</v>
      </c>
      <c r="I61" s="3">
        <v>0.52500000000000002</v>
      </c>
      <c r="J61" s="13">
        <f t="shared" si="5"/>
        <v>0.21486085605311475</v>
      </c>
      <c r="K61" s="18">
        <f t="shared" si="6"/>
        <v>7.3560856053114743E-2</v>
      </c>
      <c r="L61" s="15">
        <f t="shared" si="7"/>
        <v>0.50426389543911165</v>
      </c>
      <c r="M61" s="15">
        <f t="shared" si="2"/>
        <v>0.68075625884280533</v>
      </c>
      <c r="N61">
        <f t="shared" si="8"/>
        <v>0.44185224460940026</v>
      </c>
    </row>
    <row r="62" spans="2:14" x14ac:dyDescent="0.3">
      <c r="B62">
        <v>370</v>
      </c>
      <c r="C62" s="2">
        <v>0.65972222222222221</v>
      </c>
      <c r="D62" s="1">
        <v>943</v>
      </c>
      <c r="E62" s="1">
        <v>1.3</v>
      </c>
      <c r="F62" s="1">
        <v>24.9</v>
      </c>
      <c r="G62" s="3">
        <v>0.49399999999999999</v>
      </c>
      <c r="H62" s="1">
        <v>23.5</v>
      </c>
      <c r="I62" s="3">
        <v>0.52400000000000002</v>
      </c>
      <c r="J62" s="13">
        <f t="shared" si="5"/>
        <v>0.21100823177387656</v>
      </c>
      <c r="K62" s="18">
        <f t="shared" si="6"/>
        <v>6.9708231773876556E-2</v>
      </c>
      <c r="L62" s="15">
        <f t="shared" si="7"/>
        <v>0.85724862224649889</v>
      </c>
      <c r="M62" s="15">
        <f t="shared" si="2"/>
        <v>0.8068222327025858</v>
      </c>
      <c r="N62">
        <f t="shared" si="8"/>
        <v>0.75114881583598836</v>
      </c>
    </row>
    <row r="63" spans="2:14" x14ac:dyDescent="0.3">
      <c r="B63">
        <v>380</v>
      </c>
      <c r="C63" s="2">
        <v>0.66666666666666663</v>
      </c>
      <c r="D63" s="1">
        <v>937.9</v>
      </c>
      <c r="E63" s="1">
        <v>1.3</v>
      </c>
      <c r="F63" s="1">
        <v>24.8</v>
      </c>
      <c r="G63" s="3">
        <v>0.497</v>
      </c>
      <c r="H63" s="1">
        <v>23.5</v>
      </c>
      <c r="I63" s="3">
        <v>0.52800000000000002</v>
      </c>
      <c r="J63" s="13">
        <f t="shared" si="5"/>
        <v>0.20445877049917158</v>
      </c>
      <c r="K63" s="18">
        <f t="shared" si="6"/>
        <v>6.3158770499171568E-2</v>
      </c>
      <c r="L63" s="15">
        <f t="shared" si="7"/>
        <v>0.75639584315867281</v>
      </c>
      <c r="M63" s="15">
        <f t="shared" si="2"/>
        <v>0.3781979215793364</v>
      </c>
      <c r="N63">
        <f t="shared" si="8"/>
        <v>0.66277836691410508</v>
      </c>
    </row>
    <row r="64" spans="2:14" x14ac:dyDescent="0.3">
      <c r="B64">
        <v>390</v>
      </c>
      <c r="C64" s="2">
        <v>0.67361111111111116</v>
      </c>
      <c r="D64" s="1">
        <v>933.4</v>
      </c>
      <c r="E64" s="1">
        <v>1.3</v>
      </c>
      <c r="F64" s="1">
        <v>24.9</v>
      </c>
      <c r="G64" s="3">
        <v>0.48799999999999999</v>
      </c>
      <c r="H64" s="1">
        <v>23.8</v>
      </c>
      <c r="I64" s="3">
        <v>0.51700000000000002</v>
      </c>
      <c r="J64" s="13">
        <f t="shared" si="5"/>
        <v>0.19867983408031425</v>
      </c>
      <c r="K64" s="18">
        <f t="shared" si="6"/>
        <v>5.7379834080314246E-2</v>
      </c>
      <c r="L64" s="15">
        <f t="shared" si="7"/>
        <v>0</v>
      </c>
      <c r="M64" s="15">
        <f t="shared" si="2"/>
        <v>0.73958704664402974</v>
      </c>
      <c r="N64">
        <f t="shared" si="8"/>
        <v>0</v>
      </c>
    </row>
    <row r="65" spans="2:14" x14ac:dyDescent="0.3">
      <c r="B65">
        <v>400</v>
      </c>
      <c r="C65" s="2">
        <v>0.68055555555555558</v>
      </c>
      <c r="D65" s="1">
        <v>933.4</v>
      </c>
      <c r="E65" s="1">
        <v>1.2</v>
      </c>
      <c r="F65" s="1">
        <v>24.9</v>
      </c>
      <c r="G65" s="3">
        <v>0.48799999999999999</v>
      </c>
      <c r="H65" s="1">
        <v>23.4</v>
      </c>
      <c r="I65" s="3">
        <v>0.52300000000000002</v>
      </c>
      <c r="J65" s="13">
        <f t="shared" si="5"/>
        <v>0.19867983408031425</v>
      </c>
      <c r="K65" s="18">
        <f t="shared" si="6"/>
        <v>5.7379834080314246E-2</v>
      </c>
      <c r="L65" s="15">
        <f t="shared" si="7"/>
        <v>1.4791740932880595</v>
      </c>
      <c r="M65" s="15">
        <f t="shared" si="2"/>
        <v>0.83203542747453685</v>
      </c>
      <c r="N65">
        <f t="shared" si="8"/>
        <v>1.2960999175209063</v>
      </c>
    </row>
    <row r="66" spans="2:14" x14ac:dyDescent="0.3">
      <c r="B66">
        <v>410</v>
      </c>
      <c r="C66" s="11">
        <v>0.6875</v>
      </c>
      <c r="D66" s="1">
        <v>924.6</v>
      </c>
      <c r="E66" s="1">
        <v>1.29</v>
      </c>
      <c r="F66" s="1">
        <v>24.7</v>
      </c>
      <c r="G66" s="3">
        <v>0.48599999999999999</v>
      </c>
      <c r="H66" s="1">
        <v>24.7</v>
      </c>
      <c r="I66" s="3">
        <v>0.48399999999999999</v>
      </c>
      <c r="J66" s="13">
        <f t="shared" si="5"/>
        <v>0.18737880286121558</v>
      </c>
      <c r="K66" s="18">
        <f t="shared" si="6"/>
        <v>4.6078802861215573E-2</v>
      </c>
      <c r="L66" s="15">
        <f t="shared" si="7"/>
        <v>0.18489676166101426</v>
      </c>
      <c r="M66" s="15">
        <f t="shared" si="2"/>
        <v>0.47064630240984173</v>
      </c>
      <c r="N66">
        <f t="shared" si="8"/>
        <v>0.16201248969011925</v>
      </c>
    </row>
    <row r="67" spans="2:14" x14ac:dyDescent="0.3">
      <c r="B67">
        <v>420</v>
      </c>
      <c r="C67" s="11">
        <v>0.69444444444444442</v>
      </c>
      <c r="D67" s="1">
        <v>923.5</v>
      </c>
      <c r="E67" s="1">
        <v>1.31</v>
      </c>
      <c r="F67" s="1">
        <v>24.6</v>
      </c>
      <c r="G67" s="3">
        <v>0.48799999999999999</v>
      </c>
      <c r="H67" s="1">
        <v>24.6</v>
      </c>
      <c r="I67" s="3">
        <v>0.49</v>
      </c>
      <c r="J67" s="13">
        <f t="shared" si="5"/>
        <v>0.1859661739588282</v>
      </c>
      <c r="K67" s="18">
        <f t="shared" si="6"/>
        <v>4.4666173958828187E-2</v>
      </c>
      <c r="L67" s="15">
        <f t="shared" si="7"/>
        <v>0.75639584315866926</v>
      </c>
      <c r="M67" s="15">
        <f t="shared" si="2"/>
        <v>0.70596945361475805</v>
      </c>
      <c r="N67">
        <f t="shared" si="8"/>
        <v>0.66277836691410197</v>
      </c>
    </row>
    <row r="68" spans="2:14" x14ac:dyDescent="0.3">
      <c r="B68">
        <v>430</v>
      </c>
      <c r="C68" s="11">
        <v>0.70138888888888884</v>
      </c>
      <c r="D68" s="1">
        <v>919</v>
      </c>
      <c r="E68" s="1">
        <v>1.29</v>
      </c>
      <c r="F68" s="1">
        <v>24.6</v>
      </c>
      <c r="G68" s="3">
        <v>0.48599999999999999</v>
      </c>
      <c r="H68" s="1">
        <v>24.6</v>
      </c>
      <c r="I68" s="3">
        <v>0.48899999999999999</v>
      </c>
      <c r="J68" s="13">
        <f t="shared" si="5"/>
        <v>0.1801872375399709</v>
      </c>
      <c r="K68" s="18">
        <f t="shared" si="6"/>
        <v>3.8887237539970892E-2</v>
      </c>
      <c r="L68" s="15">
        <f t="shared" si="7"/>
        <v>0.65554306407084684</v>
      </c>
      <c r="M68" s="15">
        <f t="shared" si="2"/>
        <v>0.67235186058548635</v>
      </c>
      <c r="N68">
        <f t="shared" si="8"/>
        <v>0.57440791799222191</v>
      </c>
    </row>
    <row r="69" spans="2:14" x14ac:dyDescent="0.3">
      <c r="B69">
        <v>440</v>
      </c>
      <c r="C69" s="11">
        <v>0.70833333333333337</v>
      </c>
      <c r="D69" s="1">
        <v>915.1</v>
      </c>
      <c r="E69" s="1">
        <v>1.32</v>
      </c>
      <c r="F69" s="1">
        <v>24.4</v>
      </c>
      <c r="G69" s="3">
        <v>0.497</v>
      </c>
      <c r="H69" s="1">
        <v>24.4</v>
      </c>
      <c r="I69" s="3">
        <v>0.499</v>
      </c>
      <c r="J69" s="13">
        <f t="shared" si="5"/>
        <v>0.17517882597696124</v>
      </c>
      <c r="K69" s="18">
        <f t="shared" si="6"/>
        <v>3.3878825976961235E-2</v>
      </c>
      <c r="L69" s="15">
        <f t="shared" si="7"/>
        <v>0.68916065710012586</v>
      </c>
      <c r="M69" s="15">
        <f t="shared" si="2"/>
        <v>0.48745509892448302</v>
      </c>
      <c r="N69">
        <f t="shared" si="8"/>
        <v>0.60386473429951948</v>
      </c>
    </row>
    <row r="70" spans="2:14" x14ac:dyDescent="0.3">
      <c r="B70">
        <v>450</v>
      </c>
      <c r="C70" s="11">
        <v>0.71527777777777779</v>
      </c>
      <c r="D70" s="1">
        <v>911</v>
      </c>
      <c r="E70" s="1">
        <v>1.32</v>
      </c>
      <c r="F70" s="1">
        <v>24.3</v>
      </c>
      <c r="G70" s="3">
        <v>0.505</v>
      </c>
      <c r="H70" s="1">
        <v>24.3</v>
      </c>
      <c r="I70" s="3">
        <v>0.51100000000000001</v>
      </c>
      <c r="J70" s="13">
        <f t="shared" si="5"/>
        <v>0.16991357279533567</v>
      </c>
      <c r="K70" s="18">
        <f t="shared" si="6"/>
        <v>2.8613572795335662E-2</v>
      </c>
      <c r="L70" s="15">
        <f t="shared" si="7"/>
        <v>0.28574954074884024</v>
      </c>
      <c r="M70" s="15">
        <f t="shared" si="2"/>
        <v>0.37819792157933463</v>
      </c>
      <c r="N70">
        <f t="shared" si="8"/>
        <v>0.2503829386120025</v>
      </c>
    </row>
    <row r="71" spans="2:14" x14ac:dyDescent="0.3">
      <c r="B71">
        <v>460</v>
      </c>
      <c r="C71" s="11">
        <v>0.72222222222222221</v>
      </c>
      <c r="D71" s="1">
        <v>909.3</v>
      </c>
      <c r="E71" s="1">
        <v>1.35</v>
      </c>
      <c r="F71" s="1">
        <v>24.1</v>
      </c>
      <c r="G71" s="3">
        <v>0.51200000000000001</v>
      </c>
      <c r="H71" s="1">
        <v>24.1</v>
      </c>
      <c r="I71" s="3">
        <v>0.51300000000000001</v>
      </c>
      <c r="J71" s="13">
        <f t="shared" si="5"/>
        <v>0.16773041903710062</v>
      </c>
      <c r="K71" s="18">
        <f t="shared" si="6"/>
        <v>2.6430419037100611E-2</v>
      </c>
      <c r="L71" s="15">
        <f t="shared" si="7"/>
        <v>0.47064630240982902</v>
      </c>
      <c r="M71" s="15">
        <f t="shared" si="2"/>
        <v>0.4454331076378798</v>
      </c>
      <c r="N71">
        <f t="shared" si="8"/>
        <v>0.41239542830209946</v>
      </c>
    </row>
    <row r="72" spans="2:14" x14ac:dyDescent="0.3">
      <c r="B72">
        <v>470</v>
      </c>
      <c r="C72" s="11">
        <v>0.72916666666666663</v>
      </c>
      <c r="D72" s="1">
        <v>906.5</v>
      </c>
      <c r="E72" s="1">
        <v>1.35</v>
      </c>
      <c r="F72" s="1">
        <v>24.1</v>
      </c>
      <c r="G72" s="3">
        <v>0.51700000000000002</v>
      </c>
      <c r="H72" s="1">
        <v>24.1</v>
      </c>
      <c r="I72" s="3">
        <v>0.51900000000000002</v>
      </c>
      <c r="J72" s="13">
        <f t="shared" si="5"/>
        <v>0.16413463637647838</v>
      </c>
      <c r="K72" s="18">
        <f t="shared" si="6"/>
        <v>2.2834636376478368E-2</v>
      </c>
      <c r="L72" s="15">
        <f t="shared" si="7"/>
        <v>0.42021991286593058</v>
      </c>
      <c r="M72" s="15">
        <f t="shared" si="2"/>
        <v>0.46224190415252286</v>
      </c>
      <c r="N72">
        <f t="shared" si="8"/>
        <v>0.36821020384117054</v>
      </c>
    </row>
    <row r="73" spans="2:14" x14ac:dyDescent="0.3">
      <c r="B73">
        <v>480</v>
      </c>
      <c r="C73" s="11">
        <v>0.73611111111111116</v>
      </c>
      <c r="D73" s="1">
        <v>904</v>
      </c>
      <c r="E73" s="1">
        <v>1.34</v>
      </c>
      <c r="F73" s="1">
        <v>24</v>
      </c>
      <c r="G73" s="3">
        <v>0.52900000000000003</v>
      </c>
      <c r="H73" s="1">
        <v>23.9</v>
      </c>
      <c r="I73" s="3">
        <v>0.53200000000000003</v>
      </c>
      <c r="J73" s="13">
        <f t="shared" si="5"/>
        <v>0.16092411614377986</v>
      </c>
      <c r="K73" s="18">
        <f t="shared" si="6"/>
        <v>1.9624116143779846E-2</v>
      </c>
      <c r="L73" s="15">
        <f t="shared" si="7"/>
        <v>0.50426389543911521</v>
      </c>
      <c r="M73" s="15">
        <f t="shared" si="2"/>
        <v>0.50426389543911343</v>
      </c>
      <c r="N73">
        <f t="shared" si="8"/>
        <v>0.44185224460940342</v>
      </c>
    </row>
    <row r="74" spans="2:14" x14ac:dyDescent="0.3">
      <c r="B74">
        <v>490</v>
      </c>
      <c r="C74" s="11">
        <v>0.74305555555555558</v>
      </c>
      <c r="D74" s="1">
        <v>901</v>
      </c>
      <c r="E74" s="1">
        <v>1.4</v>
      </c>
      <c r="F74" s="1">
        <v>23.8</v>
      </c>
      <c r="G74" s="3">
        <v>0.53600000000000003</v>
      </c>
      <c r="H74" s="1">
        <v>23.8</v>
      </c>
      <c r="I74" s="3">
        <v>0.53700000000000003</v>
      </c>
      <c r="J74" s="13">
        <f t="shared" si="5"/>
        <v>0.15707149186454164</v>
      </c>
      <c r="K74" s="18">
        <f t="shared" si="6"/>
        <v>1.5771491864541631E-2</v>
      </c>
      <c r="L74" s="15">
        <f t="shared" si="7"/>
        <v>0.50426389543911165</v>
      </c>
      <c r="M74" s="15">
        <f t="shared" si="2"/>
        <v>0.58830787801229989</v>
      </c>
      <c r="N74">
        <f t="shared" si="8"/>
        <v>0.44185224460940026</v>
      </c>
    </row>
    <row r="75" spans="2:14" x14ac:dyDescent="0.3">
      <c r="B75">
        <v>500</v>
      </c>
      <c r="C75" s="11">
        <v>0.75</v>
      </c>
      <c r="D75" s="1">
        <v>898</v>
      </c>
      <c r="E75" s="1">
        <v>1.4</v>
      </c>
      <c r="F75" s="1">
        <v>23.8</v>
      </c>
      <c r="G75" s="3">
        <v>0.54</v>
      </c>
      <c r="H75" s="1">
        <v>23.8</v>
      </c>
      <c r="I75" s="3">
        <v>0.54200000000000004</v>
      </c>
      <c r="J75" s="13">
        <f t="shared" si="5"/>
        <v>0.15321886758530345</v>
      </c>
      <c r="K75" s="18">
        <f t="shared" si="6"/>
        <v>1.1918867585303444E-2</v>
      </c>
      <c r="L75" s="15">
        <f t="shared" si="7"/>
        <v>0.67235186058548824</v>
      </c>
      <c r="M75" s="15">
        <f t="shared" si="2"/>
        <v>0.50426389543911521</v>
      </c>
      <c r="N75">
        <f t="shared" si="8"/>
        <v>0.5891363261458723</v>
      </c>
    </row>
    <row r="76" spans="2:14" x14ac:dyDescent="0.3">
      <c r="B76">
        <v>510</v>
      </c>
      <c r="C76" s="11">
        <v>0.75694444444444442</v>
      </c>
      <c r="D76" s="1">
        <v>894</v>
      </c>
      <c r="E76" s="1">
        <v>1.35</v>
      </c>
      <c r="F76" s="1">
        <v>23.6</v>
      </c>
      <c r="G76" s="3">
        <v>0.54700000000000004</v>
      </c>
      <c r="H76" s="1">
        <v>23.6</v>
      </c>
      <c r="I76" s="3">
        <v>0.55100000000000005</v>
      </c>
      <c r="J76" s="13">
        <f t="shared" si="5"/>
        <v>0.14808203521298582</v>
      </c>
      <c r="K76" s="18">
        <f t="shared" si="6"/>
        <v>6.7820352129858152E-3</v>
      </c>
      <c r="L76" s="15">
        <f t="shared" si="7"/>
        <v>0.33617593029274229</v>
      </c>
      <c r="M76" s="15">
        <f t="shared" si="2"/>
        <v>0.25213194771955583</v>
      </c>
      <c r="N76">
        <f t="shared" si="8"/>
        <v>0.29456816307293454</v>
      </c>
    </row>
    <row r="77" spans="2:14" x14ac:dyDescent="0.3">
      <c r="B77">
        <v>520</v>
      </c>
      <c r="C77" s="11">
        <v>0.76388888888888884</v>
      </c>
      <c r="D77" s="1">
        <v>892</v>
      </c>
      <c r="E77" s="1">
        <v>1.35</v>
      </c>
      <c r="F77" s="1">
        <v>23.5</v>
      </c>
      <c r="G77" s="3">
        <v>0.55299999999999994</v>
      </c>
      <c r="H77" s="1">
        <v>23.5</v>
      </c>
      <c r="I77" s="3">
        <v>0.55399999999999994</v>
      </c>
      <c r="J77" s="13">
        <f t="shared" si="5"/>
        <v>0.14551361902682702</v>
      </c>
      <c r="K77" s="18">
        <f t="shared" si="6"/>
        <v>4.2136190268270146E-3</v>
      </c>
      <c r="L77" s="15">
        <f t="shared" si="7"/>
        <v>0.16808796514636931</v>
      </c>
      <c r="M77" s="15">
        <f t="shared" si="2"/>
        <v>8.0426756520738676E-2</v>
      </c>
      <c r="N77">
        <f t="shared" si="8"/>
        <v>0.14728408153646569</v>
      </c>
    </row>
    <row r="78" spans="2:14" x14ac:dyDescent="0.3">
      <c r="B78">
        <v>530</v>
      </c>
      <c r="C78" s="11">
        <v>0.77083333333333337</v>
      </c>
      <c r="D78" s="1">
        <v>891</v>
      </c>
      <c r="E78" s="1">
        <v>1.33</v>
      </c>
      <c r="F78" s="1">
        <v>23.4</v>
      </c>
      <c r="G78" s="3">
        <v>0.56000000000000005</v>
      </c>
      <c r="H78" s="1">
        <v>23.4</v>
      </c>
      <c r="I78" s="3">
        <v>0.56200000000000006</v>
      </c>
      <c r="J78" s="13">
        <f t="shared" si="5"/>
        <v>0.14422941093374764</v>
      </c>
      <c r="K78" s="18">
        <f t="shared" si="6"/>
        <v>2.9294109337476282E-3</v>
      </c>
      <c r="L78" s="15">
        <f t="shared" si="7"/>
        <v>-7.2344521048919508E-3</v>
      </c>
    </row>
  </sheetData>
  <mergeCells count="7">
    <mergeCell ref="K22:K23"/>
    <mergeCell ref="H23:I23"/>
    <mergeCell ref="B23:B24"/>
    <mergeCell ref="C23:C24"/>
    <mergeCell ref="D23:D24"/>
    <mergeCell ref="E23:E24"/>
    <mergeCell ref="F23:G2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FB8B-9524-481B-B9AD-C5D1D23CDF3E}">
  <dimension ref="B1:P62"/>
  <sheetViews>
    <sheetView topLeftCell="B1" zoomScaleNormal="100" workbookViewId="0">
      <pane ySplit="1" topLeftCell="A2" activePane="bottomLeft" state="frozen"/>
      <selection pane="bottomLeft" activeCell="A2" sqref="A2"/>
    </sheetView>
  </sheetViews>
  <sheetFormatPr baseColWidth="10" defaultColWidth="10.6640625" defaultRowHeight="14.4" x14ac:dyDescent="0.3"/>
  <cols>
    <col min="3" max="3" width="10.6640625" style="8"/>
    <col min="6" max="9" width="16.109375" customWidth="1"/>
    <col min="10" max="10" width="36.44140625" customWidth="1"/>
  </cols>
  <sheetData>
    <row r="1" spans="2:16" x14ac:dyDescent="0.3">
      <c r="B1" s="9" t="s">
        <v>0</v>
      </c>
      <c r="C1" s="6" t="s">
        <v>1</v>
      </c>
      <c r="D1" s="10" t="s">
        <v>2</v>
      </c>
      <c r="E1" s="10" t="s">
        <v>3</v>
      </c>
      <c r="F1" s="36" t="s">
        <v>4</v>
      </c>
      <c r="G1" s="36"/>
      <c r="H1" s="37" t="s">
        <v>5</v>
      </c>
      <c r="I1" s="37"/>
    </row>
    <row r="2" spans="2:16" x14ac:dyDescent="0.3">
      <c r="B2" s="9"/>
      <c r="C2" s="6"/>
      <c r="D2" s="10"/>
      <c r="E2" s="10"/>
      <c r="F2" s="4" t="s">
        <v>6</v>
      </c>
      <c r="G2" s="4" t="s">
        <v>7</v>
      </c>
      <c r="H2" s="5" t="s">
        <v>6</v>
      </c>
      <c r="I2" s="5" t="s">
        <v>7</v>
      </c>
      <c r="J2" t="s">
        <v>8</v>
      </c>
    </row>
    <row r="3" spans="2:16" x14ac:dyDescent="0.3">
      <c r="J3" t="s">
        <v>10</v>
      </c>
    </row>
    <row r="6" spans="2:16" ht="14.4" customHeight="1" x14ac:dyDescent="0.3">
      <c r="B6" s="38" t="s">
        <v>0</v>
      </c>
      <c r="C6" s="39" t="s">
        <v>1</v>
      </c>
      <c r="D6" s="39" t="s">
        <v>2</v>
      </c>
      <c r="E6" s="39" t="s">
        <v>3</v>
      </c>
      <c r="F6" s="36" t="s">
        <v>4</v>
      </c>
      <c r="G6" s="36"/>
      <c r="H6" s="37" t="s">
        <v>5</v>
      </c>
      <c r="I6" s="37"/>
      <c r="J6" s="35" t="s">
        <v>9</v>
      </c>
      <c r="P6" t="s">
        <v>8</v>
      </c>
    </row>
    <row r="7" spans="2:16" x14ac:dyDescent="0.3">
      <c r="B7" s="38"/>
      <c r="C7" s="39"/>
      <c r="D7" s="39"/>
      <c r="E7" s="39"/>
      <c r="F7" s="4" t="s">
        <v>6</v>
      </c>
      <c r="G7" s="4" t="s">
        <v>7</v>
      </c>
      <c r="H7" s="5" t="s">
        <v>6</v>
      </c>
      <c r="I7" s="5" t="s">
        <v>7</v>
      </c>
      <c r="J7" s="35"/>
      <c r="P7" t="s">
        <v>10</v>
      </c>
    </row>
    <row r="8" spans="2:16" x14ac:dyDescent="0.3">
      <c r="B8">
        <v>0</v>
      </c>
      <c r="C8" s="2">
        <v>0.40277777777777779</v>
      </c>
      <c r="D8" s="1">
        <v>1183</v>
      </c>
      <c r="E8" s="1">
        <v>1.3</v>
      </c>
      <c r="F8" s="1">
        <v>25.9</v>
      </c>
      <c r="G8" s="3">
        <v>0.45</v>
      </c>
      <c r="H8" s="1">
        <v>20.3</v>
      </c>
      <c r="I8" s="3">
        <v>0.60199999999999998</v>
      </c>
      <c r="J8" s="7">
        <v>0.63</v>
      </c>
    </row>
    <row r="9" spans="2:16" x14ac:dyDescent="0.3">
      <c r="B9">
        <v>10</v>
      </c>
      <c r="C9" s="2">
        <v>0.40972222222222221</v>
      </c>
      <c r="D9" s="1">
        <v>1164.2</v>
      </c>
      <c r="E9" s="1">
        <v>1.35</v>
      </c>
      <c r="F9" s="1">
        <v>21.22</v>
      </c>
      <c r="G9" s="3">
        <v>0.56399999999999995</v>
      </c>
      <c r="H9" s="1">
        <v>19.8</v>
      </c>
      <c r="I9" s="3">
        <v>0.622</v>
      </c>
    </row>
    <row r="10" spans="2:16" x14ac:dyDescent="0.3">
      <c r="B10">
        <v>20</v>
      </c>
      <c r="C10" s="2">
        <v>0.41666666666666702</v>
      </c>
      <c r="D10" s="1">
        <v>1159.4000000000001</v>
      </c>
      <c r="E10" s="1">
        <v>1.32</v>
      </c>
      <c r="F10" s="1">
        <v>20.8</v>
      </c>
      <c r="G10" s="3">
        <v>0.57899999999999996</v>
      </c>
      <c r="H10" s="1">
        <v>19.399999999999999</v>
      </c>
      <c r="I10" s="3">
        <v>0.627</v>
      </c>
    </row>
    <row r="11" spans="2:16" x14ac:dyDescent="0.3">
      <c r="B11">
        <v>30</v>
      </c>
      <c r="C11" s="2">
        <v>0.42361111111111099</v>
      </c>
      <c r="D11" s="1">
        <v>1154.8</v>
      </c>
      <c r="E11" s="1">
        <v>1.25</v>
      </c>
      <c r="F11" s="1">
        <v>20.8</v>
      </c>
      <c r="G11" s="3">
        <v>0.58299999999999996</v>
      </c>
      <c r="H11" s="1">
        <v>19.2</v>
      </c>
      <c r="I11" s="3">
        <v>0.621</v>
      </c>
    </row>
    <row r="12" spans="2:16" x14ac:dyDescent="0.3">
      <c r="B12">
        <v>40</v>
      </c>
      <c r="C12" s="2">
        <v>0.43055555555555503</v>
      </c>
      <c r="D12" s="1">
        <v>1146.2</v>
      </c>
      <c r="E12" s="1">
        <v>1.26</v>
      </c>
      <c r="F12" s="1">
        <v>21.1</v>
      </c>
      <c r="G12" s="3">
        <v>0.57999999999999996</v>
      </c>
      <c r="H12" s="1">
        <v>20.100000000000001</v>
      </c>
      <c r="I12" s="3">
        <v>0.622</v>
      </c>
    </row>
    <row r="13" spans="2:16" x14ac:dyDescent="0.3">
      <c r="B13">
        <v>50</v>
      </c>
      <c r="C13" s="2">
        <v>0.4375</v>
      </c>
      <c r="D13" s="1">
        <v>1139.3</v>
      </c>
      <c r="E13" s="1">
        <v>1.25</v>
      </c>
      <c r="F13" s="1">
        <v>21.4</v>
      </c>
      <c r="G13" s="3">
        <v>0.57399999999999995</v>
      </c>
      <c r="H13" s="1">
        <v>20.399999999999999</v>
      </c>
      <c r="I13" s="3">
        <v>0.61199999999999999</v>
      </c>
    </row>
    <row r="14" spans="2:16" x14ac:dyDescent="0.3">
      <c r="B14">
        <v>60</v>
      </c>
      <c r="C14" s="2">
        <v>0.44444444444444398</v>
      </c>
      <c r="D14" s="1">
        <v>1129.2</v>
      </c>
      <c r="E14" s="1">
        <v>1.21</v>
      </c>
      <c r="F14" s="1">
        <v>21.8</v>
      </c>
      <c r="G14" s="3">
        <v>0.56699999999999995</v>
      </c>
      <c r="H14" s="1">
        <v>20.7</v>
      </c>
      <c r="I14" s="3">
        <v>0.60699999999999998</v>
      </c>
    </row>
    <row r="15" spans="2:16" x14ac:dyDescent="0.3">
      <c r="B15">
        <v>70</v>
      </c>
      <c r="C15" s="2">
        <v>0.45138888888888901</v>
      </c>
      <c r="D15" s="1">
        <v>1122.4000000000001</v>
      </c>
      <c r="E15" s="1">
        <v>1.21</v>
      </c>
      <c r="F15" s="1">
        <v>22.1</v>
      </c>
      <c r="G15" s="3">
        <v>0.56200000000000006</v>
      </c>
      <c r="H15" s="1">
        <v>20.9</v>
      </c>
      <c r="I15" s="3">
        <v>0.60299999999999998</v>
      </c>
    </row>
    <row r="16" spans="2:16" x14ac:dyDescent="0.3">
      <c r="B16">
        <v>80</v>
      </c>
      <c r="C16" s="2">
        <v>0.45833333333333298</v>
      </c>
      <c r="D16" s="1">
        <v>1115</v>
      </c>
      <c r="E16" s="1">
        <v>1.2</v>
      </c>
      <c r="F16" s="1">
        <v>22.3</v>
      </c>
      <c r="G16" s="3">
        <v>0.55900000000000005</v>
      </c>
      <c r="H16" s="1">
        <v>21.2</v>
      </c>
      <c r="I16" s="3">
        <v>0.59699999999999998</v>
      </c>
    </row>
    <row r="17" spans="2:10" x14ac:dyDescent="0.3">
      <c r="B17">
        <v>90</v>
      </c>
      <c r="C17" s="2">
        <v>0.46527777777777801</v>
      </c>
      <c r="D17" s="1">
        <v>1106.3</v>
      </c>
      <c r="E17" s="1">
        <v>1.2</v>
      </c>
      <c r="F17" s="1">
        <v>22.6</v>
      </c>
      <c r="G17" s="3">
        <v>0.55900000000000005</v>
      </c>
      <c r="H17" s="1">
        <v>21.3</v>
      </c>
      <c r="I17" s="3">
        <v>0.59499999999999997</v>
      </c>
    </row>
    <row r="18" spans="2:10" x14ac:dyDescent="0.3">
      <c r="B18">
        <v>100</v>
      </c>
      <c r="C18" s="2">
        <v>0.47222222222222199</v>
      </c>
      <c r="D18" s="1">
        <v>1097.2</v>
      </c>
      <c r="E18" s="1">
        <v>1.2</v>
      </c>
      <c r="F18" s="1">
        <v>22.7</v>
      </c>
      <c r="G18" s="3">
        <v>0.55400000000000005</v>
      </c>
      <c r="H18" s="1">
        <v>21.5</v>
      </c>
      <c r="I18" s="3">
        <v>0.59299999999999997</v>
      </c>
    </row>
    <row r="19" spans="2:10" x14ac:dyDescent="0.3">
      <c r="B19">
        <v>110</v>
      </c>
      <c r="C19" s="2">
        <v>0.47916666666666602</v>
      </c>
      <c r="D19" s="1">
        <v>1090.5</v>
      </c>
      <c r="E19" s="1">
        <v>1.2</v>
      </c>
      <c r="F19" s="1">
        <v>22.7</v>
      </c>
      <c r="G19" s="3">
        <v>0.55400000000000005</v>
      </c>
      <c r="H19" s="1">
        <v>21.6</v>
      </c>
      <c r="I19" s="3">
        <v>0.59099999999999997</v>
      </c>
    </row>
    <row r="20" spans="2:10" x14ac:dyDescent="0.3">
      <c r="B20">
        <v>120</v>
      </c>
      <c r="C20" s="2">
        <v>0.48611111111111099</v>
      </c>
      <c r="D20" s="1">
        <v>1083.3</v>
      </c>
      <c r="E20" s="1">
        <v>1.2</v>
      </c>
      <c r="F20" s="1">
        <v>23</v>
      </c>
      <c r="G20" s="3">
        <v>0.54300000000000004</v>
      </c>
      <c r="H20" s="1">
        <v>21.7</v>
      </c>
      <c r="I20" s="3">
        <v>0.57899999999999996</v>
      </c>
    </row>
    <row r="21" spans="2:10" x14ac:dyDescent="0.3">
      <c r="B21">
        <v>130</v>
      </c>
      <c r="C21" s="2">
        <v>0.49305555555555503</v>
      </c>
      <c r="D21" s="1">
        <v>1075.7</v>
      </c>
      <c r="E21" s="1">
        <v>1.07</v>
      </c>
      <c r="F21" s="1">
        <v>23.1</v>
      </c>
      <c r="G21" s="3">
        <v>0.54200000000000004</v>
      </c>
      <c r="H21" s="1">
        <v>21.9</v>
      </c>
      <c r="I21" s="3">
        <v>0.58199999999999996</v>
      </c>
    </row>
    <row r="22" spans="2:10" x14ac:dyDescent="0.3">
      <c r="B22">
        <v>140</v>
      </c>
      <c r="C22" s="2">
        <v>0.5</v>
      </c>
      <c r="D22" s="1">
        <v>1069</v>
      </c>
      <c r="E22" s="1">
        <v>1.1000000000000001</v>
      </c>
      <c r="F22" s="1">
        <v>23.2</v>
      </c>
      <c r="G22" s="3">
        <v>0.54100000000000004</v>
      </c>
      <c r="H22" s="1">
        <v>22</v>
      </c>
      <c r="I22" s="3">
        <v>0.57899999999999996</v>
      </c>
    </row>
    <row r="23" spans="2:10" x14ac:dyDescent="0.3">
      <c r="B23">
        <v>150</v>
      </c>
      <c r="C23" s="2">
        <v>0.50694444444444398</v>
      </c>
      <c r="D23" s="1">
        <v>1062.3</v>
      </c>
      <c r="E23" s="1">
        <v>1</v>
      </c>
      <c r="F23" s="1">
        <v>23.3</v>
      </c>
      <c r="G23" s="3">
        <v>0.54400000000000004</v>
      </c>
      <c r="H23" s="1">
        <v>22.1</v>
      </c>
      <c r="I23" s="3">
        <v>0.57899999999999996</v>
      </c>
    </row>
    <row r="24" spans="2:10" x14ac:dyDescent="0.3">
      <c r="B24">
        <v>160</v>
      </c>
      <c r="C24" s="2">
        <v>0.51388888888888895</v>
      </c>
      <c r="D24" s="1">
        <v>1054.9000000000001</v>
      </c>
      <c r="E24" s="1">
        <v>1</v>
      </c>
      <c r="F24" s="1">
        <v>23.4</v>
      </c>
      <c r="G24" s="3">
        <v>0.54</v>
      </c>
      <c r="H24" s="1">
        <v>22.2</v>
      </c>
      <c r="I24" s="3">
        <v>0.57199999999999995</v>
      </c>
    </row>
    <row r="25" spans="2:10" x14ac:dyDescent="0.3">
      <c r="B25">
        <v>170</v>
      </c>
      <c r="C25" s="2">
        <v>0.52083333333333304</v>
      </c>
      <c r="D25" s="1">
        <v>1050.0999999999999</v>
      </c>
      <c r="E25" s="1">
        <v>0.9</v>
      </c>
      <c r="F25" s="1">
        <v>23.6</v>
      </c>
      <c r="G25" s="3">
        <v>0.53200000000000003</v>
      </c>
      <c r="H25" s="1">
        <v>22.2</v>
      </c>
      <c r="I25" s="3">
        <v>0.56999999999999995</v>
      </c>
    </row>
    <row r="26" spans="2:10" x14ac:dyDescent="0.3">
      <c r="B26">
        <v>180</v>
      </c>
      <c r="C26" s="2">
        <v>0.52777777777777801</v>
      </c>
      <c r="D26" s="1">
        <v>1041</v>
      </c>
      <c r="E26" s="1">
        <v>1.1000000000000001</v>
      </c>
      <c r="F26" s="1">
        <v>23.8</v>
      </c>
      <c r="G26" s="3">
        <v>0.53500000000000003</v>
      </c>
      <c r="H26" s="1">
        <v>22.5</v>
      </c>
      <c r="I26" s="3">
        <v>0.56999999999999995</v>
      </c>
    </row>
    <row r="27" spans="2:10" x14ac:dyDescent="0.3">
      <c r="B27">
        <v>190</v>
      </c>
      <c r="C27" s="2">
        <v>0.53472222222222199</v>
      </c>
      <c r="D27" s="1">
        <v>1035.5999999999999</v>
      </c>
      <c r="E27" s="1">
        <v>1.1000000000000001</v>
      </c>
      <c r="F27" s="1">
        <v>23.7</v>
      </c>
      <c r="G27" s="3">
        <v>0.53800000000000003</v>
      </c>
      <c r="H27" s="1">
        <v>22.5</v>
      </c>
      <c r="I27" s="3">
        <v>0.57199999999999995</v>
      </c>
      <c r="J27" t="s">
        <v>11</v>
      </c>
    </row>
    <row r="28" spans="2:10" x14ac:dyDescent="0.3">
      <c r="B28">
        <v>200</v>
      </c>
      <c r="C28" s="2">
        <v>0.54166666666666596</v>
      </c>
      <c r="D28" s="1">
        <v>1029.5</v>
      </c>
      <c r="E28" s="1">
        <v>1.1000000000000001</v>
      </c>
      <c r="F28" s="1">
        <v>24</v>
      </c>
      <c r="G28" s="3">
        <v>0.53100000000000003</v>
      </c>
      <c r="H28" s="1">
        <v>22.6</v>
      </c>
      <c r="I28" s="3">
        <v>0.56999999999999995</v>
      </c>
      <c r="J28" t="s">
        <v>12</v>
      </c>
    </row>
    <row r="29" spans="2:10" x14ac:dyDescent="0.3">
      <c r="B29">
        <v>210</v>
      </c>
      <c r="C29" s="2">
        <v>0.54861111111111105</v>
      </c>
      <c r="D29" s="1">
        <v>1023</v>
      </c>
      <c r="E29" s="1">
        <v>1.1000000000000001</v>
      </c>
      <c r="F29" s="1">
        <v>24</v>
      </c>
      <c r="G29" s="3">
        <v>0.53400000000000003</v>
      </c>
      <c r="H29" s="1">
        <v>22.6</v>
      </c>
      <c r="I29" s="3">
        <v>0.56899999999999995</v>
      </c>
    </row>
    <row r="30" spans="2:10" x14ac:dyDescent="0.3">
      <c r="B30">
        <v>220</v>
      </c>
      <c r="C30" s="2">
        <v>0.55555555555555503</v>
      </c>
      <c r="D30" s="1">
        <v>1016.3</v>
      </c>
      <c r="E30" s="1">
        <v>1.1000000000000001</v>
      </c>
      <c r="F30" s="1">
        <v>24.1</v>
      </c>
      <c r="G30" s="3">
        <v>0.52300000000000002</v>
      </c>
      <c r="H30" s="1">
        <v>22.7</v>
      </c>
      <c r="I30" s="3">
        <v>0.55800000000000005</v>
      </c>
    </row>
    <row r="31" spans="2:10" x14ac:dyDescent="0.3">
      <c r="B31">
        <v>230</v>
      </c>
      <c r="C31" s="2">
        <v>0.5625</v>
      </c>
      <c r="D31" s="1">
        <v>1011</v>
      </c>
      <c r="E31" s="1">
        <v>1.1000000000000001</v>
      </c>
      <c r="F31" s="1">
        <v>24.1</v>
      </c>
      <c r="G31" s="3">
        <v>0.52300000000000002</v>
      </c>
      <c r="H31" s="1">
        <v>22.8</v>
      </c>
      <c r="I31" s="3">
        <v>0.55700000000000005</v>
      </c>
    </row>
    <row r="32" spans="2:10" x14ac:dyDescent="0.3">
      <c r="B32">
        <v>240</v>
      </c>
      <c r="C32" s="2">
        <v>0.56944444444444398</v>
      </c>
      <c r="D32" s="1">
        <v>1004</v>
      </c>
      <c r="E32" s="1">
        <v>1.1000000000000001</v>
      </c>
      <c r="F32" s="1">
        <v>24.3</v>
      </c>
      <c r="G32" s="3">
        <v>0.51800000000000002</v>
      </c>
      <c r="H32" s="1">
        <v>22.9</v>
      </c>
      <c r="I32" s="3">
        <v>0.55200000000000005</v>
      </c>
    </row>
    <row r="33" spans="2:10" x14ac:dyDescent="0.3">
      <c r="B33">
        <v>250</v>
      </c>
      <c r="C33" s="2">
        <v>0.57638888888888795</v>
      </c>
      <c r="D33" s="1">
        <v>1000</v>
      </c>
      <c r="E33" s="1">
        <v>1.1000000000000001</v>
      </c>
      <c r="F33" s="1">
        <v>24.2</v>
      </c>
      <c r="G33" s="3">
        <v>0.51900000000000002</v>
      </c>
      <c r="H33" s="1">
        <v>22.8</v>
      </c>
      <c r="I33" s="3">
        <v>0.55400000000000005</v>
      </c>
    </row>
    <row r="34" spans="2:10" x14ac:dyDescent="0.3">
      <c r="B34">
        <v>260</v>
      </c>
      <c r="C34" s="2">
        <v>0.58333333333333304</v>
      </c>
      <c r="D34" s="1">
        <v>995</v>
      </c>
      <c r="E34" s="1">
        <v>1.1000000000000001</v>
      </c>
      <c r="F34" s="1">
        <v>24.2</v>
      </c>
      <c r="G34" s="3">
        <v>0.52</v>
      </c>
      <c r="H34" s="1">
        <v>22.9</v>
      </c>
      <c r="I34" s="3">
        <v>0.55300000000000005</v>
      </c>
    </row>
    <row r="35" spans="2:10" x14ac:dyDescent="0.3">
      <c r="B35">
        <v>270</v>
      </c>
      <c r="C35" s="2">
        <v>0.59027777777777701</v>
      </c>
      <c r="D35" s="1">
        <v>990</v>
      </c>
      <c r="E35" s="1">
        <v>1.1000000000000001</v>
      </c>
      <c r="F35" s="1">
        <v>24.5</v>
      </c>
      <c r="G35" s="3">
        <v>0.50800000000000001</v>
      </c>
      <c r="H35" s="1">
        <v>23.1</v>
      </c>
      <c r="I35" s="3">
        <v>0.54100000000000004</v>
      </c>
    </row>
    <row r="36" spans="2:10" x14ac:dyDescent="0.3">
      <c r="B36">
        <v>280</v>
      </c>
      <c r="C36" s="2">
        <v>0.59722222222222199</v>
      </c>
      <c r="D36" s="1">
        <v>984</v>
      </c>
      <c r="E36" s="1">
        <v>1.1000000000000001</v>
      </c>
      <c r="F36" s="1">
        <v>24.6</v>
      </c>
      <c r="G36" s="3">
        <v>0.5</v>
      </c>
      <c r="H36" s="1">
        <v>23.1</v>
      </c>
      <c r="I36" s="3">
        <v>0.53600000000000003</v>
      </c>
    </row>
    <row r="37" spans="2:10" x14ac:dyDescent="0.3">
      <c r="B37">
        <v>290</v>
      </c>
      <c r="C37" s="2">
        <v>0.60416666666666596</v>
      </c>
      <c r="D37" s="1">
        <v>980</v>
      </c>
      <c r="E37" s="1">
        <v>1.1000000000000001</v>
      </c>
      <c r="F37" s="1">
        <v>24.6</v>
      </c>
      <c r="G37" s="3">
        <v>0.502</v>
      </c>
      <c r="H37" s="1">
        <v>23.3</v>
      </c>
      <c r="I37" s="3">
        <v>0.53200000000000003</v>
      </c>
    </row>
    <row r="38" spans="2:10" x14ac:dyDescent="0.3">
      <c r="B38">
        <v>300</v>
      </c>
      <c r="C38" s="2">
        <v>0.61111111111111105</v>
      </c>
      <c r="D38" s="1">
        <v>973</v>
      </c>
      <c r="E38" s="1">
        <v>1.2</v>
      </c>
      <c r="F38" s="1">
        <v>24.8</v>
      </c>
      <c r="G38" s="3">
        <v>0.501</v>
      </c>
      <c r="H38" s="1">
        <v>23.3</v>
      </c>
      <c r="I38" s="3">
        <v>0.53500000000000003</v>
      </c>
    </row>
    <row r="39" spans="2:10" x14ac:dyDescent="0.3">
      <c r="B39">
        <v>310</v>
      </c>
      <c r="C39" s="2">
        <v>0.61805555555555558</v>
      </c>
      <c r="D39" s="1">
        <v>970</v>
      </c>
      <c r="E39" s="1">
        <v>1.2</v>
      </c>
      <c r="F39" s="1">
        <v>24.7</v>
      </c>
      <c r="G39" s="3">
        <v>0.503</v>
      </c>
      <c r="H39" s="1">
        <v>23.3</v>
      </c>
      <c r="I39" s="3">
        <v>0.53300000000000003</v>
      </c>
    </row>
    <row r="40" spans="2:10" x14ac:dyDescent="0.3">
      <c r="B40">
        <v>320</v>
      </c>
      <c r="C40" s="2">
        <v>0.625</v>
      </c>
      <c r="D40" s="1">
        <v>964</v>
      </c>
      <c r="E40" s="1">
        <v>1.3</v>
      </c>
      <c r="F40" s="1">
        <v>24.8</v>
      </c>
      <c r="G40" s="3">
        <v>0.5</v>
      </c>
      <c r="H40" s="1">
        <v>23.4</v>
      </c>
      <c r="I40" s="3">
        <v>0.53400000000000003</v>
      </c>
    </row>
    <row r="41" spans="2:10" x14ac:dyDescent="0.3">
      <c r="B41">
        <v>330</v>
      </c>
      <c r="C41" s="2">
        <v>0.63194444444444442</v>
      </c>
      <c r="D41" s="1">
        <v>960</v>
      </c>
      <c r="E41" s="1">
        <v>1.3</v>
      </c>
      <c r="F41" s="1">
        <v>24.8</v>
      </c>
      <c r="G41" s="3">
        <v>0.504</v>
      </c>
      <c r="H41" s="1">
        <v>23.3</v>
      </c>
      <c r="I41" s="3">
        <v>0.53600000000000003</v>
      </c>
    </row>
    <row r="42" spans="2:10" x14ac:dyDescent="0.3">
      <c r="B42">
        <v>340</v>
      </c>
      <c r="C42" s="2">
        <v>0.63888888888888884</v>
      </c>
      <c r="D42" s="1">
        <v>955</v>
      </c>
      <c r="E42" s="1">
        <v>1.4</v>
      </c>
      <c r="F42" s="1">
        <v>24.9</v>
      </c>
      <c r="G42" s="3">
        <v>0.505</v>
      </c>
      <c r="H42" s="1">
        <v>23.5</v>
      </c>
      <c r="I42" s="3">
        <v>0.53500000000000003</v>
      </c>
    </row>
    <row r="43" spans="2:10" x14ac:dyDescent="0.3">
      <c r="B43">
        <v>350</v>
      </c>
      <c r="C43" s="2">
        <v>0.64583333333333337</v>
      </c>
      <c r="D43" s="1">
        <v>950</v>
      </c>
      <c r="E43" s="1">
        <v>1.3</v>
      </c>
      <c r="F43" s="1">
        <v>24.9</v>
      </c>
      <c r="G43" s="3">
        <v>0.50600000000000001</v>
      </c>
      <c r="H43" s="1">
        <v>23.5</v>
      </c>
      <c r="I43" s="3">
        <v>0.53500000000000003</v>
      </c>
    </row>
    <row r="44" spans="2:10" x14ac:dyDescent="0.3">
      <c r="B44">
        <v>360</v>
      </c>
      <c r="C44" s="2">
        <v>0.65277777777777779</v>
      </c>
      <c r="D44" s="1">
        <v>946</v>
      </c>
      <c r="E44" s="1">
        <v>1.3</v>
      </c>
      <c r="F44" s="1">
        <v>25</v>
      </c>
      <c r="G44" s="3">
        <v>0.49399999999999999</v>
      </c>
      <c r="H44" s="1">
        <v>23.6</v>
      </c>
      <c r="I44" s="3">
        <v>0.52500000000000002</v>
      </c>
    </row>
    <row r="45" spans="2:10" x14ac:dyDescent="0.3">
      <c r="B45">
        <v>370</v>
      </c>
      <c r="C45" s="2">
        <v>0.65972222222222221</v>
      </c>
      <c r="D45" s="1">
        <v>943</v>
      </c>
      <c r="E45" s="1">
        <v>1.3</v>
      </c>
      <c r="F45" s="1">
        <v>24.9</v>
      </c>
      <c r="G45" s="3">
        <v>0.49399999999999999</v>
      </c>
      <c r="H45" s="1">
        <v>23.5</v>
      </c>
      <c r="I45" s="3">
        <v>0.52400000000000002</v>
      </c>
    </row>
    <row r="46" spans="2:10" x14ac:dyDescent="0.3">
      <c r="B46">
        <v>380</v>
      </c>
      <c r="C46" s="2">
        <v>0.66666666666666663</v>
      </c>
      <c r="D46" s="1">
        <v>937.9</v>
      </c>
      <c r="E46" s="1">
        <v>1.3</v>
      </c>
      <c r="F46" s="1">
        <v>24.8</v>
      </c>
      <c r="G46" s="3">
        <v>0.497</v>
      </c>
      <c r="H46" s="1">
        <v>23.5</v>
      </c>
      <c r="I46" s="3">
        <v>0.52800000000000002</v>
      </c>
      <c r="J46" t="s">
        <v>14</v>
      </c>
    </row>
    <row r="47" spans="2:10" x14ac:dyDescent="0.3">
      <c r="B47">
        <v>390</v>
      </c>
      <c r="C47" s="2">
        <v>0.67361111111111116</v>
      </c>
      <c r="D47" s="1">
        <v>933.4</v>
      </c>
      <c r="E47" s="1">
        <v>1.3</v>
      </c>
      <c r="F47" s="1">
        <v>24.9</v>
      </c>
      <c r="G47" s="3">
        <v>0.48799999999999999</v>
      </c>
      <c r="H47" s="1">
        <v>23.8</v>
      </c>
      <c r="I47" s="3">
        <v>0.51700000000000002</v>
      </c>
    </row>
    <row r="48" spans="2:10" x14ac:dyDescent="0.3">
      <c r="B48">
        <v>400</v>
      </c>
      <c r="C48" s="2">
        <v>0.68055555555555558</v>
      </c>
      <c r="D48" s="1">
        <v>933.4</v>
      </c>
      <c r="E48" s="1">
        <v>1.2</v>
      </c>
      <c r="F48" s="1">
        <v>24.9</v>
      </c>
      <c r="G48" s="3">
        <v>0.48799999999999999</v>
      </c>
      <c r="H48" s="1">
        <v>23.4</v>
      </c>
      <c r="I48" s="3">
        <v>0.52300000000000002</v>
      </c>
    </row>
    <row r="49" spans="2:9" x14ac:dyDescent="0.3">
      <c r="B49">
        <v>410</v>
      </c>
      <c r="C49" s="11">
        <v>0.6875</v>
      </c>
      <c r="D49" s="1">
        <v>924.6</v>
      </c>
      <c r="E49" s="1">
        <v>1.29</v>
      </c>
      <c r="F49" s="1">
        <v>24.7</v>
      </c>
      <c r="G49" s="3">
        <v>0.48599999999999999</v>
      </c>
      <c r="H49" s="1">
        <v>24.7</v>
      </c>
      <c r="I49" s="3">
        <v>0.48399999999999999</v>
      </c>
    </row>
    <row r="50" spans="2:9" x14ac:dyDescent="0.3">
      <c r="B50">
        <v>420</v>
      </c>
      <c r="C50" s="11">
        <v>0.69444444444444442</v>
      </c>
      <c r="D50" s="1">
        <v>923.5</v>
      </c>
      <c r="E50" s="1">
        <v>1.31</v>
      </c>
      <c r="F50" s="1">
        <v>24.6</v>
      </c>
      <c r="G50" s="3">
        <v>0.48799999999999999</v>
      </c>
      <c r="H50" s="1">
        <v>24.6</v>
      </c>
      <c r="I50" s="3">
        <v>0.49</v>
      </c>
    </row>
    <row r="51" spans="2:9" x14ac:dyDescent="0.3">
      <c r="B51">
        <v>430</v>
      </c>
      <c r="C51" s="11">
        <v>0.70138888888888884</v>
      </c>
      <c r="D51" s="1">
        <v>919</v>
      </c>
      <c r="E51" s="1">
        <v>1.29</v>
      </c>
      <c r="F51" s="1">
        <v>24.6</v>
      </c>
      <c r="G51" s="3">
        <v>0.48599999999999999</v>
      </c>
      <c r="H51" s="1">
        <v>24.6</v>
      </c>
      <c r="I51" s="3">
        <v>0.48899999999999999</v>
      </c>
    </row>
    <row r="52" spans="2:9" x14ac:dyDescent="0.3">
      <c r="B52">
        <v>440</v>
      </c>
      <c r="C52" s="11">
        <v>0.70833333333333337</v>
      </c>
      <c r="D52" s="1">
        <v>915.1</v>
      </c>
      <c r="E52" s="1">
        <v>1.32</v>
      </c>
      <c r="F52" s="1">
        <v>24.4</v>
      </c>
      <c r="G52" s="3">
        <v>0.497</v>
      </c>
      <c r="H52" s="1">
        <v>24.4</v>
      </c>
      <c r="I52" s="3">
        <v>0.499</v>
      </c>
    </row>
    <row r="53" spans="2:9" x14ac:dyDescent="0.3">
      <c r="B53">
        <v>450</v>
      </c>
      <c r="C53" s="11">
        <v>0.71527777777777779</v>
      </c>
      <c r="D53" s="1">
        <v>911</v>
      </c>
      <c r="E53" s="1">
        <v>1.32</v>
      </c>
      <c r="F53" s="1">
        <v>24.3</v>
      </c>
      <c r="G53" s="3">
        <v>0.505</v>
      </c>
      <c r="H53" s="1">
        <v>24.3</v>
      </c>
      <c r="I53" s="3">
        <v>0.51100000000000001</v>
      </c>
    </row>
    <row r="54" spans="2:9" x14ac:dyDescent="0.3">
      <c r="B54">
        <v>460</v>
      </c>
      <c r="C54" s="11">
        <v>0.72222222222222221</v>
      </c>
      <c r="D54" s="1">
        <v>909.3</v>
      </c>
      <c r="E54" s="1">
        <v>1.35</v>
      </c>
      <c r="F54" s="1">
        <v>24.1</v>
      </c>
      <c r="G54" s="3">
        <v>0.51200000000000001</v>
      </c>
      <c r="H54" s="1">
        <v>24.1</v>
      </c>
      <c r="I54" s="3">
        <v>0.51300000000000001</v>
      </c>
    </row>
    <row r="55" spans="2:9" x14ac:dyDescent="0.3">
      <c r="B55">
        <v>470</v>
      </c>
      <c r="C55" s="11">
        <v>0.72916666666666663</v>
      </c>
      <c r="D55" s="1">
        <v>906.5</v>
      </c>
      <c r="E55" s="1">
        <v>1.35</v>
      </c>
      <c r="F55" s="1">
        <v>24.1</v>
      </c>
      <c r="G55" s="3">
        <v>0.51700000000000002</v>
      </c>
      <c r="H55" s="1">
        <v>24.1</v>
      </c>
      <c r="I55" s="3">
        <v>0.51900000000000002</v>
      </c>
    </row>
    <row r="56" spans="2:9" x14ac:dyDescent="0.3">
      <c r="B56">
        <v>480</v>
      </c>
      <c r="C56" s="11">
        <v>0.73611111111111116</v>
      </c>
      <c r="D56" s="1">
        <v>904</v>
      </c>
      <c r="E56" s="1">
        <v>1.34</v>
      </c>
      <c r="F56" s="1">
        <v>24</v>
      </c>
      <c r="G56" s="3">
        <v>0.52900000000000003</v>
      </c>
      <c r="H56" s="1">
        <v>23.9</v>
      </c>
      <c r="I56" s="3">
        <v>0.53200000000000003</v>
      </c>
    </row>
    <row r="57" spans="2:9" x14ac:dyDescent="0.3">
      <c r="B57">
        <v>490</v>
      </c>
      <c r="C57" s="11">
        <v>0.74305555555555558</v>
      </c>
      <c r="D57" s="1">
        <v>901</v>
      </c>
      <c r="E57" s="1">
        <v>1.4</v>
      </c>
      <c r="F57" s="1">
        <v>23.8</v>
      </c>
      <c r="G57" s="3">
        <v>0.53600000000000003</v>
      </c>
      <c r="H57" s="1">
        <v>23.8</v>
      </c>
      <c r="I57" s="3">
        <v>0.53700000000000003</v>
      </c>
    </row>
    <row r="58" spans="2:9" x14ac:dyDescent="0.3">
      <c r="B58">
        <v>500</v>
      </c>
      <c r="C58" s="11">
        <v>0.75</v>
      </c>
      <c r="D58" s="1">
        <v>898</v>
      </c>
      <c r="E58" s="1">
        <v>1.4</v>
      </c>
      <c r="F58" s="1">
        <v>23.8</v>
      </c>
      <c r="G58" s="3">
        <v>0.54</v>
      </c>
      <c r="H58" s="1">
        <v>23.8</v>
      </c>
      <c r="I58" s="3">
        <v>0.54200000000000004</v>
      </c>
    </row>
    <row r="59" spans="2:9" x14ac:dyDescent="0.3">
      <c r="B59">
        <v>510</v>
      </c>
      <c r="C59" s="11">
        <v>0.75694444444444442</v>
      </c>
      <c r="D59" s="1">
        <v>894</v>
      </c>
      <c r="E59" s="1">
        <v>1.35</v>
      </c>
      <c r="F59" s="1">
        <v>23.6</v>
      </c>
      <c r="G59" s="3">
        <v>0.54700000000000004</v>
      </c>
      <c r="H59" s="1">
        <v>23.6</v>
      </c>
      <c r="I59" s="3">
        <v>0.55100000000000005</v>
      </c>
    </row>
    <row r="60" spans="2:9" x14ac:dyDescent="0.3">
      <c r="B60">
        <v>520</v>
      </c>
      <c r="C60" s="11">
        <v>0.76388888888888884</v>
      </c>
      <c r="D60" s="1">
        <v>892</v>
      </c>
      <c r="E60" s="1">
        <v>1.35</v>
      </c>
      <c r="F60" s="1">
        <v>23.5</v>
      </c>
      <c r="G60" s="3">
        <v>0.55299999999999994</v>
      </c>
      <c r="H60" s="1">
        <v>23.5</v>
      </c>
      <c r="I60" s="3">
        <v>0.55399999999999994</v>
      </c>
    </row>
    <row r="61" spans="2:9" x14ac:dyDescent="0.3">
      <c r="B61">
        <v>530</v>
      </c>
      <c r="C61" s="11">
        <v>0.77083333333333337</v>
      </c>
      <c r="D61" s="1">
        <v>891</v>
      </c>
      <c r="E61" s="1">
        <v>1.33</v>
      </c>
      <c r="F61" s="1">
        <v>23.4</v>
      </c>
      <c r="G61" s="3">
        <v>0.56000000000000005</v>
      </c>
      <c r="H61" s="1">
        <v>23.4</v>
      </c>
      <c r="I61" s="3">
        <v>0.56200000000000006</v>
      </c>
    </row>
    <row r="62" spans="2:9" x14ac:dyDescent="0.3">
      <c r="C62" s="11"/>
    </row>
  </sheetData>
  <mergeCells count="9">
    <mergeCell ref="J6:J7"/>
    <mergeCell ref="F1:G1"/>
    <mergeCell ref="H1:I1"/>
    <mergeCell ref="B6:B7"/>
    <mergeCell ref="C6:C7"/>
    <mergeCell ref="D6:D7"/>
    <mergeCell ref="E6:E7"/>
    <mergeCell ref="F6:G6"/>
    <mergeCell ref="H6:I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6C39-845C-4CF1-80EB-E071BA2F1C6E}">
  <dimension ref="A4:T80"/>
  <sheetViews>
    <sheetView topLeftCell="A31" zoomScale="55" zoomScaleNormal="55" workbookViewId="0">
      <selection activeCell="W81" sqref="W81"/>
    </sheetView>
  </sheetViews>
  <sheetFormatPr baseColWidth="10" defaultColWidth="11.44140625" defaultRowHeight="13.8" x14ac:dyDescent="0.25"/>
  <cols>
    <col min="1" max="9" width="11.44140625" style="19"/>
    <col min="10" max="10" width="16.5546875" style="19" customWidth="1"/>
    <col min="11" max="11" width="15.44140625" style="19" customWidth="1"/>
    <col min="12" max="16384" width="11.44140625" style="19"/>
  </cols>
  <sheetData>
    <row r="4" spans="1:20" x14ac:dyDescent="0.25">
      <c r="T4" s="19" t="s">
        <v>15</v>
      </c>
    </row>
    <row r="5" spans="1:20" ht="41.4" x14ac:dyDescent="0.25">
      <c r="B5" s="20" t="s">
        <v>16</v>
      </c>
      <c r="C5" s="19">
        <v>1183</v>
      </c>
    </row>
    <row r="6" spans="1:20" ht="41.4" x14ac:dyDescent="0.25">
      <c r="B6" s="20" t="s">
        <v>17</v>
      </c>
    </row>
    <row r="7" spans="1:20" x14ac:dyDescent="0.25">
      <c r="B7" s="20"/>
    </row>
    <row r="8" spans="1:20" ht="41.4" x14ac:dyDescent="0.25">
      <c r="B8" s="20" t="s">
        <v>18</v>
      </c>
      <c r="C8" s="19" t="s">
        <v>19</v>
      </c>
      <c r="D8" s="19">
        <f>24*10^-2</f>
        <v>0.24</v>
      </c>
      <c r="E8" s="19" t="s">
        <v>20</v>
      </c>
      <c r="F8" s="20" t="s">
        <v>21</v>
      </c>
      <c r="G8" s="19" t="s">
        <v>19</v>
      </c>
      <c r="H8" s="19">
        <f>10.5*10^-2</f>
        <v>0.105</v>
      </c>
      <c r="R8" s="19" t="s">
        <v>22</v>
      </c>
    </row>
    <row r="9" spans="1:20" x14ac:dyDescent="0.25">
      <c r="B9" s="20"/>
      <c r="C9" s="19" t="s">
        <v>23</v>
      </c>
      <c r="D9" s="19">
        <f>36*10^-2</f>
        <v>0.36</v>
      </c>
      <c r="E9" s="19" t="s">
        <v>20</v>
      </c>
      <c r="G9" s="19" t="s">
        <v>23</v>
      </c>
      <c r="H9" s="19">
        <f>11*10^-2</f>
        <v>0.11</v>
      </c>
      <c r="R9" s="19" t="s">
        <v>24</v>
      </c>
    </row>
    <row r="10" spans="1:20" x14ac:dyDescent="0.25">
      <c r="C10" s="19" t="s">
        <v>25</v>
      </c>
      <c r="D10" s="19">
        <f>1.7*10^-2</f>
        <v>1.7000000000000001E-2</v>
      </c>
      <c r="E10" s="19" t="s">
        <v>20</v>
      </c>
      <c r="G10" s="19" t="s">
        <v>26</v>
      </c>
      <c r="H10" s="19">
        <f>1.7*10^-2</f>
        <v>1.7000000000000001E-2</v>
      </c>
      <c r="R10" s="19" t="s">
        <v>27</v>
      </c>
    </row>
    <row r="11" spans="1:20" x14ac:dyDescent="0.25">
      <c r="C11" s="19" t="s">
        <v>28</v>
      </c>
      <c r="D11" s="19">
        <f>D8*D9</f>
        <v>8.6399999999999991E-2</v>
      </c>
      <c r="F11" s="19" t="s">
        <v>29</v>
      </c>
      <c r="G11" s="19">
        <f>H9*H8+2*(H9*H10)+2*(H8*H10)</f>
        <v>1.8860000000000002E-2</v>
      </c>
      <c r="H11" s="19" t="s">
        <v>30</v>
      </c>
      <c r="I11" s="19">
        <v>9</v>
      </c>
      <c r="J11" s="19" t="s">
        <v>31</v>
      </c>
      <c r="K11" s="19">
        <v>4</v>
      </c>
    </row>
    <row r="12" spans="1:20" ht="41.4" x14ac:dyDescent="0.25">
      <c r="F12" s="21" t="s">
        <v>32</v>
      </c>
      <c r="G12" s="22">
        <f>G11*I11*K11</f>
        <v>0.67896000000000001</v>
      </c>
      <c r="H12" s="22" t="s">
        <v>33</v>
      </c>
    </row>
    <row r="15" spans="1:20" ht="27.6" x14ac:dyDescent="0.25">
      <c r="A15" s="20" t="s">
        <v>34</v>
      </c>
      <c r="B15" s="20" t="s">
        <v>35</v>
      </c>
    </row>
    <row r="16" spans="1:20" x14ac:dyDescent="0.25">
      <c r="A16" s="19">
        <v>1</v>
      </c>
      <c r="B16" s="19">
        <f>582.19-348.58</f>
        <v>233.61000000000007</v>
      </c>
      <c r="G16" s="19" t="s">
        <v>36</v>
      </c>
    </row>
    <row r="17" spans="1:16" x14ac:dyDescent="0.25">
      <c r="A17" s="19">
        <v>2</v>
      </c>
      <c r="B17" s="19">
        <f>543.49-341.29</f>
        <v>202.2</v>
      </c>
      <c r="G17" s="19" t="s">
        <v>37</v>
      </c>
    </row>
    <row r="18" spans="1:16" x14ac:dyDescent="0.25">
      <c r="A18" s="19">
        <v>3</v>
      </c>
      <c r="B18" s="19">
        <f>572.68-349.35</f>
        <v>223.32999999999993</v>
      </c>
      <c r="G18" s="19" t="s">
        <v>38</v>
      </c>
      <c r="J18" s="23"/>
      <c r="K18" s="23"/>
    </row>
    <row r="19" spans="1:16" x14ac:dyDescent="0.25">
      <c r="A19" s="19">
        <v>4</v>
      </c>
      <c r="B19" s="19">
        <f>577.24-347.7</f>
        <v>229.54000000000002</v>
      </c>
      <c r="F19" s="19" t="s">
        <v>40</v>
      </c>
      <c r="G19" s="19">
        <v>778.69</v>
      </c>
      <c r="H19" s="19" t="s">
        <v>39</v>
      </c>
      <c r="J19" s="23"/>
      <c r="K19" s="23"/>
      <c r="L19" s="23"/>
      <c r="M19" s="23"/>
      <c r="N19" s="23" t="s">
        <v>41</v>
      </c>
      <c r="O19" s="23"/>
      <c r="P19" s="23">
        <v>0.14130000000000001</v>
      </c>
    </row>
    <row r="20" spans="1:16" x14ac:dyDescent="0.25">
      <c r="B20" s="19">
        <f>SUM(B16:B19)</f>
        <v>888.68000000000006</v>
      </c>
    </row>
    <row r="22" spans="1:16" ht="14.7" customHeight="1" x14ac:dyDescent="0.25">
      <c r="K22" s="20"/>
    </row>
    <row r="23" spans="1:16" ht="22.95" customHeight="1" x14ac:dyDescent="0.25">
      <c r="B23" s="43" t="s">
        <v>0</v>
      </c>
      <c r="C23" s="41" t="s">
        <v>1</v>
      </c>
      <c r="D23" s="41" t="s">
        <v>2</v>
      </c>
      <c r="E23" s="41" t="s">
        <v>3</v>
      </c>
      <c r="F23" s="41" t="s">
        <v>47</v>
      </c>
      <c r="G23" s="41"/>
      <c r="H23" s="41" t="s">
        <v>48</v>
      </c>
      <c r="I23" s="41"/>
      <c r="J23" s="42" t="s">
        <v>49</v>
      </c>
      <c r="K23" s="46" t="s">
        <v>50</v>
      </c>
      <c r="L23" s="44" t="s">
        <v>51</v>
      </c>
      <c r="M23" s="44" t="s">
        <v>52</v>
      </c>
      <c r="N23" s="44" t="s">
        <v>53</v>
      </c>
      <c r="O23" s="44" t="s">
        <v>54</v>
      </c>
    </row>
    <row r="24" spans="1:16" ht="24" x14ac:dyDescent="0.25">
      <c r="B24" s="43"/>
      <c r="C24" s="41"/>
      <c r="D24" s="41"/>
      <c r="E24" s="41"/>
      <c r="F24" s="26" t="s">
        <v>6</v>
      </c>
      <c r="G24" s="26" t="s">
        <v>7</v>
      </c>
      <c r="H24" s="26" t="s">
        <v>6</v>
      </c>
      <c r="I24" s="26" t="s">
        <v>7</v>
      </c>
      <c r="J24" s="42"/>
      <c r="K24" s="47"/>
      <c r="L24" s="45"/>
      <c r="M24" s="45"/>
      <c r="N24" s="45"/>
      <c r="O24" s="45"/>
    </row>
    <row r="25" spans="1:16" x14ac:dyDescent="0.25">
      <c r="B25" s="27">
        <v>0</v>
      </c>
      <c r="C25" s="28">
        <v>0.40277777777777779</v>
      </c>
      <c r="D25" s="29">
        <v>1183</v>
      </c>
      <c r="E25" s="29">
        <v>1.3</v>
      </c>
      <c r="F25" s="29">
        <v>25.9</v>
      </c>
      <c r="G25" s="30">
        <v>0.45</v>
      </c>
      <c r="H25" s="29">
        <v>20.3</v>
      </c>
      <c r="I25" s="30">
        <v>0.60199999999999998</v>
      </c>
      <c r="J25" s="25">
        <f>(D25-$G$19)/$G$19</f>
        <v>0.51921817411293314</v>
      </c>
      <c r="K25" s="25">
        <f t="shared" ref="K25:K56" si="0">J25-$P$19</f>
        <v>0.37791817411293316</v>
      </c>
      <c r="L25" s="25">
        <f>-($G$19/$G$12)*((K26-K25)/(B26-B25))</f>
        <v>2.7689407328855853</v>
      </c>
      <c r="M25" s="25">
        <f t="shared" ref="M25:M56" si="1">L25*60</f>
        <v>166.13644397313513</v>
      </c>
      <c r="N25" s="25">
        <f t="shared" ref="N25:N56" si="2">AVERAGE(L25,L26)</f>
        <v>1.7379521621303129</v>
      </c>
      <c r="O25" s="25">
        <f>AVERAGE(M25,M26)</f>
        <v>104.27712972781877</v>
      </c>
    </row>
    <row r="26" spans="1:16" x14ac:dyDescent="0.25">
      <c r="B26" s="27">
        <v>10</v>
      </c>
      <c r="C26" s="28">
        <v>0.40972222222222221</v>
      </c>
      <c r="D26" s="29">
        <v>1164.2</v>
      </c>
      <c r="E26" s="29">
        <v>1.35</v>
      </c>
      <c r="F26" s="29">
        <v>21.22</v>
      </c>
      <c r="G26" s="30">
        <v>0.56399999999999995</v>
      </c>
      <c r="H26" s="29">
        <v>19.8</v>
      </c>
      <c r="I26" s="30">
        <v>0.622</v>
      </c>
      <c r="J26" s="25">
        <f t="shared" ref="J26:J56" si="3">(D26-$G$19)/$G$19</f>
        <v>0.49507506196304046</v>
      </c>
      <c r="K26" s="25">
        <f t="shared" si="0"/>
        <v>0.35377506196304043</v>
      </c>
      <c r="L26" s="25">
        <f>-($G$19/$G$12)*((K27-K26)/(B27-B26))</f>
        <v>0.70696359137504039</v>
      </c>
      <c r="M26" s="25">
        <f t="shared" si="1"/>
        <v>42.417815482502427</v>
      </c>
      <c r="N26" s="25">
        <f t="shared" si="2"/>
        <v>0.69223518322140265</v>
      </c>
      <c r="O26" s="25">
        <f t="shared" ref="O26:O56" si="4">AVERAGE(M26,M27)</f>
        <v>41.534110993284159</v>
      </c>
    </row>
    <row r="27" spans="1:16" x14ac:dyDescent="0.25">
      <c r="B27" s="27">
        <v>20</v>
      </c>
      <c r="C27" s="28">
        <v>0.41666666666666702</v>
      </c>
      <c r="D27" s="29">
        <v>1159.4000000000001</v>
      </c>
      <c r="E27" s="29">
        <v>1.32</v>
      </c>
      <c r="F27" s="29">
        <v>20.8</v>
      </c>
      <c r="G27" s="30">
        <v>0.57899999999999996</v>
      </c>
      <c r="H27" s="29">
        <v>19.399999999999999</v>
      </c>
      <c r="I27" s="30">
        <v>0.627</v>
      </c>
      <c r="J27" s="25">
        <f>(D27-$G$19)/$G$19</f>
        <v>0.48891086311625936</v>
      </c>
      <c r="K27" s="25">
        <f>J27-$P$19</f>
        <v>0.34761086311625933</v>
      </c>
      <c r="L27" s="25">
        <f t="shared" ref="L27:L56" si="5">-($G$19/$G$12)*((K28-K27)/(B28-B27))</f>
        <v>0.67750677506776502</v>
      </c>
      <c r="M27" s="25">
        <f t="shared" si="1"/>
        <v>40.650406504065899</v>
      </c>
      <c r="N27" s="25">
        <f t="shared" si="2"/>
        <v>0.97207493814069001</v>
      </c>
      <c r="O27" s="25">
        <f>AVERAGE(M27,M28)</f>
        <v>58.324496288441402</v>
      </c>
    </row>
    <row r="28" spans="1:16" x14ac:dyDescent="0.25">
      <c r="B28" s="27">
        <v>30</v>
      </c>
      <c r="C28" s="28">
        <v>0.42361111111111099</v>
      </c>
      <c r="D28" s="29">
        <v>1154.8</v>
      </c>
      <c r="E28" s="29">
        <v>1.25</v>
      </c>
      <c r="F28" s="29">
        <v>20.8</v>
      </c>
      <c r="G28" s="30">
        <v>0.58299999999999996</v>
      </c>
      <c r="H28" s="29">
        <v>19.2</v>
      </c>
      <c r="I28" s="30">
        <v>0.621</v>
      </c>
      <c r="J28" s="25">
        <f t="shared" si="3"/>
        <v>0.48300350588809393</v>
      </c>
      <c r="K28" s="25">
        <f>J28-$P$19</f>
        <v>0.34170350588809395</v>
      </c>
      <c r="L28" s="25">
        <f t="shared" si="5"/>
        <v>1.266643101213615</v>
      </c>
      <c r="M28" s="25">
        <f t="shared" si="1"/>
        <v>75.998586072816906</v>
      </c>
      <c r="N28" s="25">
        <f t="shared" si="2"/>
        <v>1.1414516319076249</v>
      </c>
      <c r="O28" s="25">
        <f t="shared" si="4"/>
        <v>68.487097914457507</v>
      </c>
    </row>
    <row r="29" spans="1:16" x14ac:dyDescent="0.25">
      <c r="B29" s="27">
        <v>40</v>
      </c>
      <c r="C29" s="28">
        <v>0.43055555555555503</v>
      </c>
      <c r="D29" s="29">
        <v>1146.2</v>
      </c>
      <c r="E29" s="29">
        <v>1.26</v>
      </c>
      <c r="F29" s="29">
        <v>21.1</v>
      </c>
      <c r="G29" s="30">
        <v>0.57999999999999996</v>
      </c>
      <c r="H29" s="29">
        <v>20.100000000000001</v>
      </c>
      <c r="I29" s="30">
        <v>0.622</v>
      </c>
      <c r="J29" s="25">
        <f t="shared" si="3"/>
        <v>0.47195931628761117</v>
      </c>
      <c r="K29" s="25">
        <f>J29-$P$19</f>
        <v>0.33065931628761114</v>
      </c>
      <c r="L29" s="25">
        <f t="shared" si="5"/>
        <v>1.016260162601635</v>
      </c>
      <c r="M29" s="25">
        <f t="shared" si="1"/>
        <v>60.975609756098102</v>
      </c>
      <c r="N29" s="25">
        <f>AVERAGE(L29,L30)</f>
        <v>1.2519146930599709</v>
      </c>
      <c r="O29" s="25">
        <f t="shared" si="4"/>
        <v>75.114881583598262</v>
      </c>
    </row>
    <row r="30" spans="1:16" x14ac:dyDescent="0.25">
      <c r="B30" s="27">
        <v>50</v>
      </c>
      <c r="C30" s="28">
        <v>0.4375</v>
      </c>
      <c r="D30" s="29">
        <v>1139.3</v>
      </c>
      <c r="E30" s="29">
        <v>1.25</v>
      </c>
      <c r="F30" s="29">
        <v>21.4</v>
      </c>
      <c r="G30" s="30">
        <v>0.57399999999999995</v>
      </c>
      <c r="H30" s="29">
        <v>20.399999999999999</v>
      </c>
      <c r="I30" s="30">
        <v>0.61199999999999999</v>
      </c>
      <c r="J30" s="25">
        <f t="shared" si="3"/>
        <v>0.46309828044536322</v>
      </c>
      <c r="K30" s="25">
        <f t="shared" si="0"/>
        <v>0.32179828044536318</v>
      </c>
      <c r="L30" s="25">
        <f t="shared" si="5"/>
        <v>1.4875692235183071</v>
      </c>
      <c r="M30" s="25">
        <f t="shared" si="1"/>
        <v>89.254153411098429</v>
      </c>
      <c r="N30" s="25">
        <f t="shared" si="2"/>
        <v>1.2445504889831394</v>
      </c>
      <c r="O30" s="25">
        <f t="shared" si="4"/>
        <v>74.673029338988357</v>
      </c>
    </row>
    <row r="31" spans="1:16" x14ac:dyDescent="0.25">
      <c r="B31" s="27">
        <v>60</v>
      </c>
      <c r="C31" s="28">
        <v>0.44444444444444398</v>
      </c>
      <c r="D31" s="29">
        <v>1129.2</v>
      </c>
      <c r="E31" s="29">
        <v>1.21</v>
      </c>
      <c r="F31" s="29">
        <v>21.8</v>
      </c>
      <c r="G31" s="30">
        <v>0.56699999999999995</v>
      </c>
      <c r="H31" s="29">
        <v>20.7</v>
      </c>
      <c r="I31" s="30">
        <v>0.60699999999999998</v>
      </c>
      <c r="J31" s="25">
        <f t="shared" si="3"/>
        <v>0.45012777870526138</v>
      </c>
      <c r="K31" s="25">
        <f t="shared" si="0"/>
        <v>0.30882777870526135</v>
      </c>
      <c r="L31" s="25">
        <f t="shared" si="5"/>
        <v>1.0015317544479716</v>
      </c>
      <c r="M31" s="25">
        <f t="shared" si="1"/>
        <v>60.0919052668783</v>
      </c>
      <c r="N31" s="25">
        <f t="shared" si="2"/>
        <v>1.0457169789089229</v>
      </c>
      <c r="O31" s="25">
        <f t="shared" si="4"/>
        <v>62.743018734535369</v>
      </c>
    </row>
    <row r="32" spans="1:16" x14ac:dyDescent="0.25">
      <c r="B32" s="27">
        <v>70</v>
      </c>
      <c r="C32" s="28">
        <v>0.45138888888888901</v>
      </c>
      <c r="D32" s="29">
        <v>1122.4000000000001</v>
      </c>
      <c r="E32" s="29">
        <v>1.21</v>
      </c>
      <c r="F32" s="29">
        <v>22.1</v>
      </c>
      <c r="G32" s="30">
        <v>0.56200000000000006</v>
      </c>
      <c r="H32" s="29">
        <v>20.9</v>
      </c>
      <c r="I32" s="30">
        <v>0.60299999999999998</v>
      </c>
      <c r="J32" s="25">
        <f t="shared" si="3"/>
        <v>0.44139516367232146</v>
      </c>
      <c r="K32" s="25">
        <f t="shared" si="0"/>
        <v>0.30009516367232147</v>
      </c>
      <c r="L32" s="25">
        <f t="shared" si="5"/>
        <v>1.089902203369874</v>
      </c>
      <c r="M32" s="25">
        <f t="shared" si="1"/>
        <v>65.394132202192438</v>
      </c>
      <c r="N32" s="25">
        <f t="shared" si="2"/>
        <v>1.1856368563685762</v>
      </c>
      <c r="O32" s="25">
        <f t="shared" si="4"/>
        <v>71.138211382114562</v>
      </c>
    </row>
    <row r="33" spans="2:15" x14ac:dyDescent="0.25">
      <c r="B33" s="27">
        <v>80</v>
      </c>
      <c r="C33" s="31">
        <v>0.45833333333333298</v>
      </c>
      <c r="D33" s="32">
        <v>1115</v>
      </c>
      <c r="E33" s="32">
        <v>1.2</v>
      </c>
      <c r="F33" s="32">
        <v>22.3</v>
      </c>
      <c r="G33" s="33">
        <v>0.55900000000000005</v>
      </c>
      <c r="H33" s="32">
        <v>21.2</v>
      </c>
      <c r="I33" s="33">
        <v>0.59699999999999998</v>
      </c>
      <c r="J33" s="34">
        <f t="shared" si="3"/>
        <v>0.43189202378353381</v>
      </c>
      <c r="K33" s="34">
        <f>J33-$P$19</f>
        <v>0.29059202378353377</v>
      </c>
      <c r="L33" s="34">
        <f>-($G$19/$G$12)*((K34-K33)/(B34-B33))</f>
        <v>1.2813715093672782</v>
      </c>
      <c r="M33" s="34">
        <f t="shared" si="1"/>
        <v>76.882290562036687</v>
      </c>
      <c r="N33" s="34">
        <f t="shared" si="2"/>
        <v>1.3108283256745599</v>
      </c>
      <c r="O33" s="34">
        <f t="shared" si="4"/>
        <v>78.649699540473591</v>
      </c>
    </row>
    <row r="34" spans="2:15" x14ac:dyDescent="0.25">
      <c r="B34" s="27">
        <v>90</v>
      </c>
      <c r="C34" s="28">
        <v>0.46527777777777801</v>
      </c>
      <c r="D34" s="29">
        <v>1106.3</v>
      </c>
      <c r="E34" s="29">
        <v>1.2</v>
      </c>
      <c r="F34" s="29">
        <v>22.6</v>
      </c>
      <c r="G34" s="30">
        <v>0.55900000000000005</v>
      </c>
      <c r="H34" s="29">
        <v>21.3</v>
      </c>
      <c r="I34" s="30">
        <v>0.59499999999999997</v>
      </c>
      <c r="J34" s="25">
        <f t="shared" si="3"/>
        <v>0.42071941337374291</v>
      </c>
      <c r="K34" s="25">
        <f t="shared" si="0"/>
        <v>0.27941941337374288</v>
      </c>
      <c r="L34" s="25">
        <f t="shared" si="5"/>
        <v>1.3402851419818416</v>
      </c>
      <c r="M34" s="25">
        <f t="shared" si="1"/>
        <v>80.417108518910496</v>
      </c>
      <c r="N34" s="25">
        <f t="shared" si="2"/>
        <v>1.1635442441380879</v>
      </c>
      <c r="O34" s="25">
        <f t="shared" si="4"/>
        <v>69.812654648285275</v>
      </c>
    </row>
    <row r="35" spans="2:15" x14ac:dyDescent="0.25">
      <c r="B35" s="27">
        <v>100</v>
      </c>
      <c r="C35" s="28">
        <v>0.47222222222222199</v>
      </c>
      <c r="D35" s="29">
        <v>1097.2</v>
      </c>
      <c r="E35" s="29">
        <v>1.2</v>
      </c>
      <c r="F35" s="29">
        <v>22.7</v>
      </c>
      <c r="G35" s="30">
        <v>0.55400000000000005</v>
      </c>
      <c r="H35" s="29">
        <v>21.5</v>
      </c>
      <c r="I35" s="30">
        <v>0.59299999999999997</v>
      </c>
      <c r="J35" s="25">
        <f t="shared" si="3"/>
        <v>0.40903311972672046</v>
      </c>
      <c r="K35" s="25">
        <f t="shared" si="0"/>
        <v>0.26773311972672043</v>
      </c>
      <c r="L35" s="25">
        <f t="shared" si="5"/>
        <v>0.98680334629433408</v>
      </c>
      <c r="M35" s="25">
        <f t="shared" si="1"/>
        <v>59.208200777660046</v>
      </c>
      <c r="N35" s="25">
        <f t="shared" si="2"/>
        <v>1.0236243666784521</v>
      </c>
      <c r="O35" s="25">
        <f t="shared" si="4"/>
        <v>61.417462000707125</v>
      </c>
    </row>
    <row r="36" spans="2:15" x14ac:dyDescent="0.25">
      <c r="B36" s="27">
        <v>110</v>
      </c>
      <c r="C36" s="28">
        <v>0.47916666666666602</v>
      </c>
      <c r="D36" s="29">
        <v>1090.5</v>
      </c>
      <c r="E36" s="29">
        <v>1.2</v>
      </c>
      <c r="F36" s="29">
        <v>22.7</v>
      </c>
      <c r="G36" s="30">
        <v>0.55400000000000005</v>
      </c>
      <c r="H36" s="29">
        <v>21.6</v>
      </c>
      <c r="I36" s="30">
        <v>0.59099999999999997</v>
      </c>
      <c r="J36" s="25">
        <f t="shared" si="3"/>
        <v>0.4004289255030884</v>
      </c>
      <c r="K36" s="25">
        <f t="shared" si="0"/>
        <v>0.25912892550308841</v>
      </c>
      <c r="L36" s="25">
        <f t="shared" si="5"/>
        <v>1.0604453870625701</v>
      </c>
      <c r="M36" s="25">
        <f t="shared" si="1"/>
        <v>63.626723223754205</v>
      </c>
      <c r="N36" s="25">
        <f t="shared" si="2"/>
        <v>1.0899022033698564</v>
      </c>
      <c r="O36" s="25">
        <f t="shared" si="4"/>
        <v>65.394132202191386</v>
      </c>
    </row>
    <row r="37" spans="2:15" x14ac:dyDescent="0.25">
      <c r="B37" s="27">
        <v>120</v>
      </c>
      <c r="C37" s="28">
        <v>0.48611111111111099</v>
      </c>
      <c r="D37" s="29">
        <v>1083.3</v>
      </c>
      <c r="E37" s="29">
        <v>1.2</v>
      </c>
      <c r="F37" s="29">
        <v>23</v>
      </c>
      <c r="G37" s="30">
        <v>0.54300000000000004</v>
      </c>
      <c r="H37" s="29">
        <v>21.7</v>
      </c>
      <c r="I37" s="30">
        <v>0.57899999999999996</v>
      </c>
      <c r="J37" s="25">
        <f t="shared" si="3"/>
        <v>0.39118262723291669</v>
      </c>
      <c r="K37" s="25">
        <f t="shared" si="0"/>
        <v>0.24988262723291668</v>
      </c>
      <c r="L37" s="25">
        <f t="shared" si="5"/>
        <v>1.119359019677143</v>
      </c>
      <c r="M37" s="25">
        <f t="shared" si="1"/>
        <v>67.161541180628575</v>
      </c>
      <c r="N37" s="25">
        <f t="shared" si="2"/>
        <v>1.0530811829857418</v>
      </c>
      <c r="O37" s="25">
        <f t="shared" si="4"/>
        <v>63.184870979144499</v>
      </c>
    </row>
    <row r="38" spans="2:15" x14ac:dyDescent="0.25">
      <c r="B38" s="27">
        <v>130</v>
      </c>
      <c r="C38" s="28">
        <v>0.49305555555555503</v>
      </c>
      <c r="D38" s="29">
        <v>1075.7</v>
      </c>
      <c r="E38" s="29">
        <v>1.07</v>
      </c>
      <c r="F38" s="29">
        <v>23.1</v>
      </c>
      <c r="G38" s="30">
        <v>0.54200000000000004</v>
      </c>
      <c r="H38" s="29">
        <v>21.9</v>
      </c>
      <c r="I38" s="30">
        <v>0.58199999999999996</v>
      </c>
      <c r="J38" s="25">
        <f t="shared" si="3"/>
        <v>0.38142264572551332</v>
      </c>
      <c r="K38" s="25">
        <f t="shared" si="0"/>
        <v>0.24012264572551331</v>
      </c>
      <c r="L38" s="25">
        <f t="shared" si="5"/>
        <v>0.98680334629434041</v>
      </c>
      <c r="M38" s="25">
        <f t="shared" si="1"/>
        <v>59.208200777660423</v>
      </c>
      <c r="N38" s="25">
        <f t="shared" si="2"/>
        <v>0.98680334629434041</v>
      </c>
      <c r="O38" s="25">
        <f t="shared" si="4"/>
        <v>59.208200777660423</v>
      </c>
    </row>
    <row r="39" spans="2:15" x14ac:dyDescent="0.25">
      <c r="B39" s="27">
        <v>140</v>
      </c>
      <c r="C39" s="28">
        <v>0.5</v>
      </c>
      <c r="D39" s="29">
        <v>1069</v>
      </c>
      <c r="E39" s="29">
        <v>1.1000000000000001</v>
      </c>
      <c r="F39" s="29">
        <v>23.2</v>
      </c>
      <c r="G39" s="30">
        <v>0.54100000000000004</v>
      </c>
      <c r="H39" s="29">
        <v>22</v>
      </c>
      <c r="I39" s="30">
        <v>0.57899999999999996</v>
      </c>
      <c r="J39" s="25">
        <f t="shared" si="3"/>
        <v>0.37281845150188125</v>
      </c>
      <c r="K39" s="25">
        <f t="shared" si="0"/>
        <v>0.23151845150188125</v>
      </c>
      <c r="L39" s="25">
        <f t="shared" si="5"/>
        <v>0.98680334629434041</v>
      </c>
      <c r="M39" s="25">
        <f t="shared" si="1"/>
        <v>59.208200777660423</v>
      </c>
      <c r="N39" s="25">
        <f t="shared" si="2"/>
        <v>1.038352774832088</v>
      </c>
      <c r="O39" s="25">
        <f t="shared" si="4"/>
        <v>62.301166489925286</v>
      </c>
    </row>
    <row r="40" spans="2:15" x14ac:dyDescent="0.25">
      <c r="B40" s="27">
        <v>150</v>
      </c>
      <c r="C40" s="28">
        <v>0.50694444444444398</v>
      </c>
      <c r="D40" s="29">
        <v>1062.3</v>
      </c>
      <c r="E40" s="29">
        <v>1</v>
      </c>
      <c r="F40" s="29">
        <v>23.3</v>
      </c>
      <c r="G40" s="30">
        <v>0.54400000000000004</v>
      </c>
      <c r="H40" s="29">
        <v>22.1</v>
      </c>
      <c r="I40" s="30">
        <v>0.57899999999999996</v>
      </c>
      <c r="J40" s="25">
        <f t="shared" si="3"/>
        <v>0.36421425727824919</v>
      </c>
      <c r="K40" s="25">
        <f t="shared" si="0"/>
        <v>0.22291425727824918</v>
      </c>
      <c r="L40" s="25">
        <f t="shared" si="5"/>
        <v>1.0899022033698358</v>
      </c>
      <c r="M40" s="25">
        <f t="shared" si="1"/>
        <v>65.39413220219015</v>
      </c>
      <c r="N40" s="25">
        <f t="shared" si="2"/>
        <v>0.89843289737245402</v>
      </c>
      <c r="O40" s="25">
        <f t="shared" si="4"/>
        <v>53.905973842347244</v>
      </c>
    </row>
    <row r="41" spans="2:15" x14ac:dyDescent="0.25">
      <c r="B41" s="27">
        <v>160</v>
      </c>
      <c r="C41" s="28">
        <v>0.51388888888888895</v>
      </c>
      <c r="D41" s="29">
        <v>1054.9000000000001</v>
      </c>
      <c r="E41" s="29">
        <v>1</v>
      </c>
      <c r="F41" s="29">
        <v>23.4</v>
      </c>
      <c r="G41" s="30">
        <v>0.54</v>
      </c>
      <c r="H41" s="29">
        <v>22.2</v>
      </c>
      <c r="I41" s="30">
        <v>0.57199999999999995</v>
      </c>
      <c r="J41" s="25">
        <f t="shared" si="3"/>
        <v>0.35471111738946182</v>
      </c>
      <c r="K41" s="25">
        <f t="shared" si="0"/>
        <v>0.21341111738946181</v>
      </c>
      <c r="L41" s="25">
        <f t="shared" si="5"/>
        <v>0.70696359137507225</v>
      </c>
      <c r="M41" s="25">
        <f t="shared" si="1"/>
        <v>42.417815482504338</v>
      </c>
      <c r="N41" s="25">
        <f t="shared" si="2"/>
        <v>1.0236243666784568</v>
      </c>
      <c r="O41" s="25">
        <f t="shared" si="4"/>
        <v>61.417462000707417</v>
      </c>
    </row>
    <row r="42" spans="2:15" x14ac:dyDescent="0.25">
      <c r="B42" s="27">
        <v>170</v>
      </c>
      <c r="C42" s="28">
        <v>0.52083333333333304</v>
      </c>
      <c r="D42" s="29">
        <v>1050.0999999999999</v>
      </c>
      <c r="E42" s="29">
        <v>0.9</v>
      </c>
      <c r="F42" s="29">
        <v>23.6</v>
      </c>
      <c r="G42" s="30">
        <v>0.53200000000000003</v>
      </c>
      <c r="H42" s="29">
        <v>22.2</v>
      </c>
      <c r="I42" s="30">
        <v>0.56999999999999995</v>
      </c>
      <c r="J42" s="25">
        <f t="shared" si="3"/>
        <v>0.34854691854268044</v>
      </c>
      <c r="K42" s="25">
        <f t="shared" si="0"/>
        <v>0.20724691854268043</v>
      </c>
      <c r="L42" s="25">
        <f t="shared" si="5"/>
        <v>1.3402851419818416</v>
      </c>
      <c r="M42" s="25">
        <f t="shared" si="1"/>
        <v>80.417108518910496</v>
      </c>
      <c r="N42" s="25">
        <f t="shared" si="2"/>
        <v>1.067809591139389</v>
      </c>
      <c r="O42" s="25">
        <f t="shared" si="4"/>
        <v>64.068575468363335</v>
      </c>
    </row>
    <row r="43" spans="2:15" x14ac:dyDescent="0.25">
      <c r="B43" s="27">
        <v>180</v>
      </c>
      <c r="C43" s="28">
        <v>0.52777777777777801</v>
      </c>
      <c r="D43" s="29">
        <v>1041</v>
      </c>
      <c r="E43" s="29">
        <v>1.1000000000000001</v>
      </c>
      <c r="F43" s="29">
        <v>23.8</v>
      </c>
      <c r="G43" s="30">
        <v>0.53500000000000003</v>
      </c>
      <c r="H43" s="29">
        <v>22.5</v>
      </c>
      <c r="I43" s="30">
        <v>0.56999999999999995</v>
      </c>
      <c r="J43" s="25">
        <f t="shared" si="3"/>
        <v>0.33686062489565799</v>
      </c>
      <c r="K43" s="25">
        <f t="shared" si="0"/>
        <v>0.19556062489565798</v>
      </c>
      <c r="L43" s="25">
        <f t="shared" si="5"/>
        <v>0.79533404029693633</v>
      </c>
      <c r="M43" s="25">
        <f t="shared" si="1"/>
        <v>47.720042417816181</v>
      </c>
      <c r="N43" s="25">
        <f t="shared" si="2"/>
        <v>0.84688346883468713</v>
      </c>
      <c r="O43" s="25">
        <f t="shared" si="4"/>
        <v>50.813008130081229</v>
      </c>
    </row>
    <row r="44" spans="2:15" x14ac:dyDescent="0.25">
      <c r="B44" s="27">
        <v>190</v>
      </c>
      <c r="C44" s="28">
        <v>0.53472222222222199</v>
      </c>
      <c r="D44" s="29">
        <v>1035.5999999999999</v>
      </c>
      <c r="E44" s="29">
        <v>1.1000000000000001</v>
      </c>
      <c r="F44" s="29">
        <v>23.7</v>
      </c>
      <c r="G44" s="30">
        <v>0.53800000000000003</v>
      </c>
      <c r="H44" s="29">
        <v>22.5</v>
      </c>
      <c r="I44" s="30">
        <v>0.57199999999999995</v>
      </c>
      <c r="J44" s="25">
        <f t="shared" si="3"/>
        <v>0.32992590119302911</v>
      </c>
      <c r="K44" s="25">
        <f t="shared" si="0"/>
        <v>0.18862590119302911</v>
      </c>
      <c r="L44" s="25">
        <f t="shared" si="5"/>
        <v>0.89843289737243803</v>
      </c>
      <c r="M44" s="25">
        <f t="shared" si="1"/>
        <v>53.905973842346285</v>
      </c>
      <c r="N44" s="25">
        <f t="shared" si="2"/>
        <v>0.92788971367973883</v>
      </c>
      <c r="O44" s="25">
        <f t="shared" si="4"/>
        <v>55.673382820784333</v>
      </c>
    </row>
    <row r="45" spans="2:15" x14ac:dyDescent="0.25">
      <c r="B45" s="27">
        <v>200</v>
      </c>
      <c r="C45" s="28">
        <v>0.54166666666666596</v>
      </c>
      <c r="D45" s="29">
        <v>1029.5</v>
      </c>
      <c r="E45" s="29">
        <v>1.1000000000000001</v>
      </c>
      <c r="F45" s="29">
        <v>24</v>
      </c>
      <c r="G45" s="30">
        <v>0.53100000000000003</v>
      </c>
      <c r="H45" s="29">
        <v>22.6</v>
      </c>
      <c r="I45" s="30">
        <v>0.56999999999999995</v>
      </c>
      <c r="J45" s="25">
        <f t="shared" si="3"/>
        <v>0.32209223182524488</v>
      </c>
      <c r="K45" s="25">
        <f t="shared" si="0"/>
        <v>0.18079223182524487</v>
      </c>
      <c r="L45" s="25">
        <f t="shared" si="5"/>
        <v>0.95734652998703973</v>
      </c>
      <c r="M45" s="25">
        <f t="shared" si="1"/>
        <v>57.440791799222382</v>
      </c>
      <c r="N45" s="25">
        <f t="shared" si="2"/>
        <v>0.97207493814069013</v>
      </c>
      <c r="O45" s="25">
        <f t="shared" si="4"/>
        <v>58.324496288441402</v>
      </c>
    </row>
    <row r="46" spans="2:15" x14ac:dyDescent="0.25">
      <c r="B46" s="27">
        <v>210</v>
      </c>
      <c r="C46" s="28">
        <v>0.54861111111111105</v>
      </c>
      <c r="D46" s="29">
        <v>1023</v>
      </c>
      <c r="E46" s="29">
        <v>1.1000000000000001</v>
      </c>
      <c r="F46" s="29">
        <v>24</v>
      </c>
      <c r="G46" s="30">
        <v>0.53400000000000003</v>
      </c>
      <c r="H46" s="29">
        <v>22.6</v>
      </c>
      <c r="I46" s="30">
        <v>0.56899999999999995</v>
      </c>
      <c r="J46" s="25">
        <f t="shared" si="3"/>
        <v>0.31374487922022876</v>
      </c>
      <c r="K46" s="25">
        <f t="shared" si="0"/>
        <v>0.17244487922022875</v>
      </c>
      <c r="L46" s="25">
        <f t="shared" si="5"/>
        <v>0.98680334629434041</v>
      </c>
      <c r="M46" s="25">
        <f t="shared" si="1"/>
        <v>59.208200777660423</v>
      </c>
      <c r="N46" s="25">
        <f t="shared" si="2"/>
        <v>0.88370448921880684</v>
      </c>
      <c r="O46" s="25">
        <f t="shared" si="4"/>
        <v>53.022269353128408</v>
      </c>
    </row>
    <row r="47" spans="2:15" x14ac:dyDescent="0.25">
      <c r="B47" s="27">
        <v>220</v>
      </c>
      <c r="C47" s="28">
        <v>0.55555555555555503</v>
      </c>
      <c r="D47" s="29">
        <v>1016.3</v>
      </c>
      <c r="E47" s="29">
        <v>1.1000000000000001</v>
      </c>
      <c r="F47" s="29">
        <v>24.1</v>
      </c>
      <c r="G47" s="30">
        <v>0.52300000000000002</v>
      </c>
      <c r="H47" s="29">
        <v>22.7</v>
      </c>
      <c r="I47" s="30">
        <v>0.55800000000000005</v>
      </c>
      <c r="J47" s="25">
        <f t="shared" si="3"/>
        <v>0.30514068499659669</v>
      </c>
      <c r="K47" s="25">
        <f t="shared" si="0"/>
        <v>0.16384068499659668</v>
      </c>
      <c r="L47" s="25">
        <f t="shared" si="5"/>
        <v>0.78060563214327316</v>
      </c>
      <c r="M47" s="25">
        <f t="shared" si="1"/>
        <v>46.836337928596393</v>
      </c>
      <c r="N47" s="25">
        <f t="shared" si="2"/>
        <v>0.90579710144927295</v>
      </c>
      <c r="O47" s="25">
        <f t="shared" si="4"/>
        <v>54.347826086956374</v>
      </c>
    </row>
    <row r="48" spans="2:15" x14ac:dyDescent="0.25">
      <c r="B48" s="27">
        <v>230</v>
      </c>
      <c r="C48" s="28">
        <v>0.5625</v>
      </c>
      <c r="D48" s="29">
        <v>1011</v>
      </c>
      <c r="E48" s="29">
        <v>1.1000000000000001</v>
      </c>
      <c r="F48" s="29">
        <v>24.1</v>
      </c>
      <c r="G48" s="30">
        <v>0.52300000000000002</v>
      </c>
      <c r="H48" s="29">
        <v>22.8</v>
      </c>
      <c r="I48" s="30">
        <v>0.55700000000000005</v>
      </c>
      <c r="J48" s="25">
        <f t="shared" si="3"/>
        <v>0.2983343821032759</v>
      </c>
      <c r="K48" s="25">
        <f t="shared" si="0"/>
        <v>0.15703438210327589</v>
      </c>
      <c r="L48" s="25">
        <f t="shared" si="5"/>
        <v>1.0309885707552726</v>
      </c>
      <c r="M48" s="25">
        <f t="shared" si="1"/>
        <v>61.859314245316355</v>
      </c>
      <c r="N48" s="25">
        <f t="shared" si="2"/>
        <v>0.81006244845057085</v>
      </c>
      <c r="O48" s="25">
        <f t="shared" si="4"/>
        <v>48.60374690703425</v>
      </c>
    </row>
    <row r="49" spans="2:15" x14ac:dyDescent="0.25">
      <c r="B49" s="27">
        <v>240</v>
      </c>
      <c r="C49" s="28">
        <v>0.56944444444444398</v>
      </c>
      <c r="D49" s="29">
        <v>1004</v>
      </c>
      <c r="E49" s="29">
        <v>1.1000000000000001</v>
      </c>
      <c r="F49" s="29">
        <v>24.3</v>
      </c>
      <c r="G49" s="30">
        <v>0.51800000000000002</v>
      </c>
      <c r="H49" s="29">
        <v>22.9</v>
      </c>
      <c r="I49" s="30">
        <v>0.55200000000000005</v>
      </c>
      <c r="J49" s="25">
        <f t="shared" si="3"/>
        <v>0.28934492545172008</v>
      </c>
      <c r="K49" s="25">
        <f t="shared" si="0"/>
        <v>0.14804492545172007</v>
      </c>
      <c r="L49" s="25">
        <f t="shared" si="5"/>
        <v>0.58913632614586908</v>
      </c>
      <c r="M49" s="25">
        <f t="shared" si="1"/>
        <v>35.348179568752144</v>
      </c>
      <c r="N49" s="25">
        <f t="shared" si="2"/>
        <v>0.66277836691410186</v>
      </c>
      <c r="O49" s="25">
        <f t="shared" si="4"/>
        <v>39.766702014846118</v>
      </c>
    </row>
    <row r="50" spans="2:15" x14ac:dyDescent="0.25">
      <c r="B50" s="27">
        <v>250</v>
      </c>
      <c r="C50" s="28">
        <v>0.57638888888888795</v>
      </c>
      <c r="D50" s="29">
        <v>1000</v>
      </c>
      <c r="E50" s="29">
        <v>1.1000000000000001</v>
      </c>
      <c r="F50" s="29">
        <v>24.2</v>
      </c>
      <c r="G50" s="30">
        <v>0.51900000000000002</v>
      </c>
      <c r="H50" s="29">
        <v>22.8</v>
      </c>
      <c r="I50" s="30">
        <v>0.55400000000000005</v>
      </c>
      <c r="J50" s="25">
        <f t="shared" si="3"/>
        <v>0.28420809307940248</v>
      </c>
      <c r="K50" s="25">
        <f t="shared" si="0"/>
        <v>0.14290809307940247</v>
      </c>
      <c r="L50" s="25">
        <f t="shared" si="5"/>
        <v>0.73642040768233474</v>
      </c>
      <c r="M50" s="25">
        <f t="shared" si="1"/>
        <v>44.185224460940084</v>
      </c>
      <c r="N50" s="25">
        <f t="shared" si="2"/>
        <v>0.73642040768233796</v>
      </c>
      <c r="O50" s="25">
        <f t="shared" si="4"/>
        <v>44.185224460940276</v>
      </c>
    </row>
    <row r="51" spans="2:15" x14ac:dyDescent="0.25">
      <c r="B51" s="27">
        <v>260</v>
      </c>
      <c r="C51" s="28">
        <v>0.58333333333333304</v>
      </c>
      <c r="D51" s="29">
        <v>995</v>
      </c>
      <c r="E51" s="29">
        <v>1.1000000000000001</v>
      </c>
      <c r="F51" s="29">
        <v>24.2</v>
      </c>
      <c r="G51" s="30">
        <v>0.52</v>
      </c>
      <c r="H51" s="29">
        <v>22.9</v>
      </c>
      <c r="I51" s="30">
        <v>0.55300000000000005</v>
      </c>
      <c r="J51" s="25">
        <f t="shared" si="3"/>
        <v>0.27778705261400549</v>
      </c>
      <c r="K51" s="25">
        <f t="shared" si="0"/>
        <v>0.13648705261400548</v>
      </c>
      <c r="L51" s="25">
        <f t="shared" si="5"/>
        <v>0.73642040768234107</v>
      </c>
      <c r="M51" s="25">
        <f t="shared" si="1"/>
        <v>44.185224460940461</v>
      </c>
      <c r="N51" s="25">
        <f t="shared" si="2"/>
        <v>0.81006244845057074</v>
      </c>
      <c r="O51" s="25">
        <f t="shared" si="4"/>
        <v>48.60374690703425</v>
      </c>
    </row>
    <row r="52" spans="2:15" x14ac:dyDescent="0.25">
      <c r="B52" s="27">
        <v>270</v>
      </c>
      <c r="C52" s="28">
        <v>0.59027777777777701</v>
      </c>
      <c r="D52" s="29">
        <v>990</v>
      </c>
      <c r="E52" s="29">
        <v>1.1000000000000001</v>
      </c>
      <c r="F52" s="29">
        <v>24.5</v>
      </c>
      <c r="G52" s="30">
        <v>0.50800000000000001</v>
      </c>
      <c r="H52" s="29">
        <v>23.1</v>
      </c>
      <c r="I52" s="30">
        <v>0.54100000000000004</v>
      </c>
      <c r="J52" s="25">
        <f t="shared" si="3"/>
        <v>0.27136601214860845</v>
      </c>
      <c r="K52" s="25">
        <f t="shared" si="0"/>
        <v>0.13006601214860844</v>
      </c>
      <c r="L52" s="25">
        <f t="shared" si="5"/>
        <v>0.88370448921880052</v>
      </c>
      <c r="M52" s="25">
        <f t="shared" si="1"/>
        <v>53.022269353128031</v>
      </c>
      <c r="N52" s="25">
        <f t="shared" si="2"/>
        <v>0.73642040768233485</v>
      </c>
      <c r="O52" s="25">
        <f t="shared" si="4"/>
        <v>44.185224460940091</v>
      </c>
    </row>
    <row r="53" spans="2:15" x14ac:dyDescent="0.25">
      <c r="B53" s="27">
        <v>280</v>
      </c>
      <c r="C53" s="28">
        <v>0.59722222222222199</v>
      </c>
      <c r="D53" s="29">
        <v>984</v>
      </c>
      <c r="E53" s="29">
        <v>1.1000000000000001</v>
      </c>
      <c r="F53" s="29">
        <v>24.6</v>
      </c>
      <c r="G53" s="30">
        <v>0.5</v>
      </c>
      <c r="H53" s="29">
        <v>23.1</v>
      </c>
      <c r="I53" s="30">
        <v>0.53600000000000003</v>
      </c>
      <c r="J53" s="25">
        <f t="shared" si="3"/>
        <v>0.26366076359013207</v>
      </c>
      <c r="K53" s="25">
        <f t="shared" si="0"/>
        <v>0.12236076359013207</v>
      </c>
      <c r="L53" s="25">
        <f t="shared" si="5"/>
        <v>0.58913632614586908</v>
      </c>
      <c r="M53" s="25">
        <f t="shared" si="1"/>
        <v>35.348179568752144</v>
      </c>
      <c r="N53" s="25">
        <f t="shared" si="2"/>
        <v>0.8100624484505724</v>
      </c>
      <c r="O53" s="25">
        <f t="shared" si="4"/>
        <v>48.603746907034342</v>
      </c>
    </row>
    <row r="54" spans="2:15" x14ac:dyDescent="0.25">
      <c r="B54" s="27">
        <v>290</v>
      </c>
      <c r="C54" s="28">
        <v>0.60416666666666596</v>
      </c>
      <c r="D54" s="29">
        <v>980</v>
      </c>
      <c r="E54" s="29">
        <v>1.1000000000000001</v>
      </c>
      <c r="F54" s="29">
        <v>24.6</v>
      </c>
      <c r="G54" s="30">
        <v>0.502</v>
      </c>
      <c r="H54" s="29">
        <v>23.3</v>
      </c>
      <c r="I54" s="30">
        <v>0.53200000000000003</v>
      </c>
      <c r="J54" s="25">
        <f t="shared" si="3"/>
        <v>0.25852393121781447</v>
      </c>
      <c r="K54" s="25">
        <f t="shared" si="0"/>
        <v>0.11722393121781446</v>
      </c>
      <c r="L54" s="25">
        <f t="shared" si="5"/>
        <v>1.0309885707552757</v>
      </c>
      <c r="M54" s="25">
        <f t="shared" si="1"/>
        <v>61.85931424531654</v>
      </c>
      <c r="N54" s="25">
        <f t="shared" si="2"/>
        <v>0.73642040768233952</v>
      </c>
      <c r="O54" s="25">
        <f t="shared" si="4"/>
        <v>44.185224460940375</v>
      </c>
    </row>
    <row r="55" spans="2:15" x14ac:dyDescent="0.25">
      <c r="B55" s="27">
        <v>300</v>
      </c>
      <c r="C55" s="28">
        <v>0.61111111111111105</v>
      </c>
      <c r="D55" s="29">
        <v>973</v>
      </c>
      <c r="E55" s="29">
        <v>1.2</v>
      </c>
      <c r="F55" s="29">
        <v>24.8</v>
      </c>
      <c r="G55" s="30">
        <v>0.501</v>
      </c>
      <c r="H55" s="29">
        <v>23.3</v>
      </c>
      <c r="I55" s="30">
        <v>0.53500000000000003</v>
      </c>
      <c r="J55" s="25">
        <f t="shared" si="3"/>
        <v>0.24953447456625863</v>
      </c>
      <c r="K55" s="25">
        <f t="shared" si="0"/>
        <v>0.10823447456625862</v>
      </c>
      <c r="L55" s="25">
        <f t="shared" si="5"/>
        <v>0.44185224460940342</v>
      </c>
      <c r="M55" s="25">
        <f t="shared" si="1"/>
        <v>26.511134676564204</v>
      </c>
      <c r="N55" s="25">
        <f t="shared" si="2"/>
        <v>0.66277836691410363</v>
      </c>
      <c r="O55" s="25">
        <f t="shared" si="4"/>
        <v>39.766702014846217</v>
      </c>
    </row>
    <row r="56" spans="2:15" x14ac:dyDescent="0.25">
      <c r="B56" s="27">
        <v>310</v>
      </c>
      <c r="C56" s="28">
        <v>0.61805555555555558</v>
      </c>
      <c r="D56" s="29">
        <v>970</v>
      </c>
      <c r="E56" s="29">
        <v>1.2</v>
      </c>
      <c r="F56" s="29">
        <v>24.7</v>
      </c>
      <c r="G56" s="30">
        <v>0.503</v>
      </c>
      <c r="H56" s="29">
        <v>23.3</v>
      </c>
      <c r="I56" s="30">
        <v>0.53300000000000003</v>
      </c>
      <c r="J56" s="25">
        <f t="shared" si="3"/>
        <v>0.24568185028702041</v>
      </c>
      <c r="K56" s="25">
        <f t="shared" si="0"/>
        <v>0.10438185028702041</v>
      </c>
      <c r="L56" s="25">
        <f t="shared" si="5"/>
        <v>0.88370448921880373</v>
      </c>
      <c r="M56" s="25">
        <f t="shared" si="1"/>
        <v>53.022269353128223</v>
      </c>
      <c r="N56" s="25">
        <f t="shared" si="2"/>
        <v>0.73642040768233796</v>
      </c>
      <c r="O56" s="25">
        <f t="shared" si="4"/>
        <v>44.185224460940276</v>
      </c>
    </row>
    <row r="57" spans="2:15" x14ac:dyDescent="0.25">
      <c r="B57" s="27">
        <v>320</v>
      </c>
      <c r="C57" s="28">
        <v>0.625</v>
      </c>
      <c r="D57" s="29">
        <v>964</v>
      </c>
      <c r="E57" s="29">
        <v>1.3</v>
      </c>
      <c r="F57" s="29">
        <v>24.8</v>
      </c>
      <c r="G57" s="30">
        <v>0.5</v>
      </c>
      <c r="H57" s="29">
        <v>23.4</v>
      </c>
      <c r="I57" s="30">
        <v>0.53400000000000003</v>
      </c>
      <c r="J57" s="25">
        <f t="shared" ref="J57:J78" si="6">(D57-$G$19)/$G$19</f>
        <v>0.23797660172854401</v>
      </c>
      <c r="K57" s="25">
        <f t="shared" ref="K57:K78" si="7">J57-$P$19</f>
        <v>9.6676601728544004E-2</v>
      </c>
      <c r="L57" s="25">
        <f t="shared" ref="L57:L78" si="8">-($G$19/$G$12)*((K58-K57)/(B58-B57))</f>
        <v>0.5891363261458723</v>
      </c>
      <c r="M57" s="25">
        <f t="shared" ref="M57:M78" si="9">L57*60</f>
        <v>35.348179568752336</v>
      </c>
      <c r="N57" s="25">
        <f t="shared" ref="N57:N77" si="10">AVERAGE(L57,L58)</f>
        <v>0.66277836691410352</v>
      </c>
      <c r="O57" s="25">
        <f t="shared" ref="O57:O77" si="11">AVERAGE(M57,M58)</f>
        <v>39.76670201484621</v>
      </c>
    </row>
    <row r="58" spans="2:15" x14ac:dyDescent="0.25">
      <c r="B58" s="27">
        <v>330</v>
      </c>
      <c r="C58" s="28">
        <v>0.63194444444444442</v>
      </c>
      <c r="D58" s="29">
        <v>960</v>
      </c>
      <c r="E58" s="29">
        <v>1.3</v>
      </c>
      <c r="F58" s="29">
        <v>24.8</v>
      </c>
      <c r="G58" s="30">
        <v>0.504</v>
      </c>
      <c r="H58" s="29">
        <v>23.3</v>
      </c>
      <c r="I58" s="30">
        <v>0.53600000000000003</v>
      </c>
      <c r="J58" s="25">
        <f t="shared" si="6"/>
        <v>0.23283976935622638</v>
      </c>
      <c r="K58" s="25">
        <f t="shared" si="7"/>
        <v>9.1539769356226375E-2</v>
      </c>
      <c r="L58" s="25">
        <f t="shared" si="8"/>
        <v>0.73642040768233474</v>
      </c>
      <c r="M58" s="25">
        <f t="shared" si="9"/>
        <v>44.185224460940084</v>
      </c>
      <c r="N58" s="25">
        <f t="shared" si="10"/>
        <v>0.73642040768233641</v>
      </c>
      <c r="O58" s="25">
        <f t="shared" si="11"/>
        <v>44.185224460940177</v>
      </c>
    </row>
    <row r="59" spans="2:15" x14ac:dyDescent="0.25">
      <c r="B59" s="27">
        <v>340</v>
      </c>
      <c r="C59" s="28">
        <v>0.63888888888888884</v>
      </c>
      <c r="D59" s="29">
        <v>955</v>
      </c>
      <c r="E59" s="29">
        <v>1.4</v>
      </c>
      <c r="F59" s="29">
        <v>24.9</v>
      </c>
      <c r="G59" s="30">
        <v>0.505</v>
      </c>
      <c r="H59" s="29">
        <v>23.5</v>
      </c>
      <c r="I59" s="30">
        <v>0.53500000000000003</v>
      </c>
      <c r="J59" s="25">
        <f t="shared" si="6"/>
        <v>0.2264187288908294</v>
      </c>
      <c r="K59" s="25">
        <f t="shared" si="7"/>
        <v>8.5118728890829387E-2</v>
      </c>
      <c r="L59" s="25">
        <f t="shared" si="8"/>
        <v>0.73642040768233796</v>
      </c>
      <c r="M59" s="25">
        <f t="shared" si="9"/>
        <v>44.185224460940276</v>
      </c>
      <c r="N59" s="25">
        <f t="shared" si="10"/>
        <v>0.66277836691410519</v>
      </c>
      <c r="O59" s="25">
        <f t="shared" si="11"/>
        <v>39.766702014846302</v>
      </c>
    </row>
    <row r="60" spans="2:15" x14ac:dyDescent="0.25">
      <c r="B60" s="27">
        <v>350</v>
      </c>
      <c r="C60" s="28">
        <v>0.64583333333333337</v>
      </c>
      <c r="D60" s="29">
        <v>950</v>
      </c>
      <c r="E60" s="29">
        <v>1.3</v>
      </c>
      <c r="F60" s="29">
        <v>24.9</v>
      </c>
      <c r="G60" s="30">
        <v>0.50600000000000001</v>
      </c>
      <c r="H60" s="29">
        <v>23.5</v>
      </c>
      <c r="I60" s="30">
        <v>0.53500000000000003</v>
      </c>
      <c r="J60" s="25">
        <f t="shared" si="6"/>
        <v>0.21999768842543238</v>
      </c>
      <c r="K60" s="25">
        <f t="shared" si="7"/>
        <v>7.8697688425432372E-2</v>
      </c>
      <c r="L60" s="25">
        <f t="shared" si="8"/>
        <v>0.5891363261458723</v>
      </c>
      <c r="M60" s="25">
        <f t="shared" si="9"/>
        <v>35.348179568752336</v>
      </c>
      <c r="N60" s="25">
        <f t="shared" si="10"/>
        <v>0.51549428537763631</v>
      </c>
      <c r="O60" s="25">
        <f t="shared" si="11"/>
        <v>30.929657122658178</v>
      </c>
    </row>
    <row r="61" spans="2:15" x14ac:dyDescent="0.25">
      <c r="B61" s="27">
        <v>360</v>
      </c>
      <c r="C61" s="28">
        <v>0.65277777777777779</v>
      </c>
      <c r="D61" s="29">
        <v>946</v>
      </c>
      <c r="E61" s="29">
        <v>1.3</v>
      </c>
      <c r="F61" s="29">
        <v>25</v>
      </c>
      <c r="G61" s="30">
        <v>0.49399999999999999</v>
      </c>
      <c r="H61" s="29">
        <v>23.6</v>
      </c>
      <c r="I61" s="30">
        <v>0.52500000000000002</v>
      </c>
      <c r="J61" s="25">
        <f t="shared" si="6"/>
        <v>0.21486085605311475</v>
      </c>
      <c r="K61" s="25">
        <f t="shared" si="7"/>
        <v>7.3560856053114743E-2</v>
      </c>
      <c r="L61" s="25">
        <f t="shared" si="8"/>
        <v>0.44185224460940026</v>
      </c>
      <c r="M61" s="25">
        <f t="shared" si="9"/>
        <v>26.511134676564016</v>
      </c>
      <c r="N61" s="25">
        <f t="shared" si="10"/>
        <v>0.59650053022269434</v>
      </c>
      <c r="O61" s="25">
        <f t="shared" si="11"/>
        <v>35.790031813361658</v>
      </c>
    </row>
    <row r="62" spans="2:15" x14ac:dyDescent="0.25">
      <c r="B62" s="27">
        <v>370</v>
      </c>
      <c r="C62" s="28">
        <v>0.65972222222222221</v>
      </c>
      <c r="D62" s="29">
        <v>943</v>
      </c>
      <c r="E62" s="29">
        <v>1.3</v>
      </c>
      <c r="F62" s="29">
        <v>24.9</v>
      </c>
      <c r="G62" s="30">
        <v>0.49399999999999999</v>
      </c>
      <c r="H62" s="29">
        <v>23.5</v>
      </c>
      <c r="I62" s="30">
        <v>0.52400000000000002</v>
      </c>
      <c r="J62" s="25">
        <f t="shared" si="6"/>
        <v>0.21100823177387656</v>
      </c>
      <c r="K62" s="25">
        <f t="shared" si="7"/>
        <v>6.9708231773876556E-2</v>
      </c>
      <c r="L62" s="25">
        <f t="shared" si="8"/>
        <v>0.75114881583598836</v>
      </c>
      <c r="M62" s="25">
        <f t="shared" si="9"/>
        <v>45.068928950159304</v>
      </c>
      <c r="N62" s="25">
        <f t="shared" si="10"/>
        <v>0.70696359137504672</v>
      </c>
      <c r="O62" s="25">
        <f t="shared" si="11"/>
        <v>42.417815482502803</v>
      </c>
    </row>
    <row r="63" spans="2:15" x14ac:dyDescent="0.25">
      <c r="B63" s="27">
        <v>380</v>
      </c>
      <c r="C63" s="28">
        <v>0.66666666666666663</v>
      </c>
      <c r="D63" s="29">
        <v>937.9</v>
      </c>
      <c r="E63" s="29">
        <v>1.3</v>
      </c>
      <c r="F63" s="29">
        <v>24.8</v>
      </c>
      <c r="G63" s="30">
        <v>0.497</v>
      </c>
      <c r="H63" s="29">
        <v>23.5</v>
      </c>
      <c r="I63" s="30">
        <v>0.52800000000000002</v>
      </c>
      <c r="J63" s="25">
        <f t="shared" si="6"/>
        <v>0.20445877049917158</v>
      </c>
      <c r="K63" s="25">
        <f t="shared" si="7"/>
        <v>6.3158770499171568E-2</v>
      </c>
      <c r="L63" s="25">
        <f t="shared" si="8"/>
        <v>0.66277836691410508</v>
      </c>
      <c r="M63" s="25">
        <f t="shared" si="9"/>
        <v>39.766702014846302</v>
      </c>
      <c r="N63" s="25">
        <f t="shared" si="10"/>
        <v>0.33138918345705254</v>
      </c>
      <c r="O63" s="25">
        <f t="shared" si="11"/>
        <v>19.883351007423151</v>
      </c>
    </row>
    <row r="64" spans="2:15" x14ac:dyDescent="0.25">
      <c r="B64" s="27">
        <v>390</v>
      </c>
      <c r="C64" s="28">
        <v>0.67361111111111116</v>
      </c>
      <c r="D64" s="29">
        <v>933.4</v>
      </c>
      <c r="E64" s="29">
        <v>1.3</v>
      </c>
      <c r="F64" s="29">
        <v>24.9</v>
      </c>
      <c r="G64" s="30">
        <v>0.48799999999999999</v>
      </c>
      <c r="H64" s="29">
        <v>23.8</v>
      </c>
      <c r="I64" s="30">
        <v>0.51700000000000002</v>
      </c>
      <c r="J64" s="25">
        <f t="shared" si="6"/>
        <v>0.19867983408031425</v>
      </c>
      <c r="K64" s="25">
        <f t="shared" si="7"/>
        <v>5.7379834080314246E-2</v>
      </c>
      <c r="L64" s="25">
        <f t="shared" si="8"/>
        <v>0</v>
      </c>
      <c r="M64" s="25">
        <f t="shared" si="9"/>
        <v>0</v>
      </c>
      <c r="N64" s="25">
        <f t="shared" si="10"/>
        <v>0.64804995876045313</v>
      </c>
      <c r="O64" s="25">
        <f t="shared" si="11"/>
        <v>38.882997525627189</v>
      </c>
    </row>
    <row r="65" spans="2:15" x14ac:dyDescent="0.25">
      <c r="B65" s="27">
        <v>400</v>
      </c>
      <c r="C65" s="28">
        <v>0.68055555555555558</v>
      </c>
      <c r="D65" s="29">
        <v>933.4</v>
      </c>
      <c r="E65" s="29">
        <v>1.2</v>
      </c>
      <c r="F65" s="29">
        <v>24.9</v>
      </c>
      <c r="G65" s="30">
        <v>0.48799999999999999</v>
      </c>
      <c r="H65" s="29">
        <v>23.4</v>
      </c>
      <c r="I65" s="30">
        <v>0.52300000000000002</v>
      </c>
      <c r="J65" s="25">
        <f t="shared" si="6"/>
        <v>0.19867983408031425</v>
      </c>
      <c r="K65" s="25">
        <f t="shared" si="7"/>
        <v>5.7379834080314246E-2</v>
      </c>
      <c r="L65" s="25">
        <f t="shared" si="8"/>
        <v>1.2960999175209063</v>
      </c>
      <c r="M65" s="25">
        <f t="shared" si="9"/>
        <v>77.765995051254379</v>
      </c>
      <c r="N65" s="25">
        <f t="shared" si="10"/>
        <v>0.72905620360551271</v>
      </c>
      <c r="O65" s="25">
        <f t="shared" si="11"/>
        <v>43.743372216330769</v>
      </c>
    </row>
    <row r="66" spans="2:15" x14ac:dyDescent="0.25">
      <c r="B66" s="27">
        <v>410</v>
      </c>
      <c r="C66" s="28">
        <v>0.6875</v>
      </c>
      <c r="D66" s="29">
        <v>924.6</v>
      </c>
      <c r="E66" s="29">
        <v>1.29</v>
      </c>
      <c r="F66" s="29">
        <v>24.7</v>
      </c>
      <c r="G66" s="30">
        <v>0.48599999999999999</v>
      </c>
      <c r="H66" s="29">
        <v>24.7</v>
      </c>
      <c r="I66" s="30">
        <v>0.48399999999999999</v>
      </c>
      <c r="J66" s="25">
        <f t="shared" si="6"/>
        <v>0.18737880286121558</v>
      </c>
      <c r="K66" s="25">
        <f t="shared" si="7"/>
        <v>4.6078802861215573E-2</v>
      </c>
      <c r="L66" s="25">
        <f t="shared" si="8"/>
        <v>0.16201248969011925</v>
      </c>
      <c r="M66" s="25">
        <f t="shared" si="9"/>
        <v>9.7207493814071544</v>
      </c>
      <c r="N66" s="25">
        <f t="shared" si="10"/>
        <v>0.41239542830211062</v>
      </c>
      <c r="O66" s="25">
        <f t="shared" si="11"/>
        <v>24.743725698126635</v>
      </c>
    </row>
    <row r="67" spans="2:15" x14ac:dyDescent="0.25">
      <c r="B67" s="27">
        <v>420</v>
      </c>
      <c r="C67" s="28">
        <v>0.69444444444444442</v>
      </c>
      <c r="D67" s="29">
        <v>923.5</v>
      </c>
      <c r="E67" s="29">
        <v>1.31</v>
      </c>
      <c r="F67" s="29">
        <v>24.6</v>
      </c>
      <c r="G67" s="30">
        <v>0.48799999999999999</v>
      </c>
      <c r="H67" s="29">
        <v>24.6</v>
      </c>
      <c r="I67" s="30">
        <v>0.49</v>
      </c>
      <c r="J67" s="25">
        <f t="shared" si="6"/>
        <v>0.1859661739588282</v>
      </c>
      <c r="K67" s="25">
        <f t="shared" si="7"/>
        <v>4.4666173958828187E-2</v>
      </c>
      <c r="L67" s="25">
        <f t="shared" si="8"/>
        <v>0.66277836691410197</v>
      </c>
      <c r="M67" s="25">
        <f t="shared" si="9"/>
        <v>39.766702014846118</v>
      </c>
      <c r="N67" s="25">
        <f t="shared" si="10"/>
        <v>0.61859314245316188</v>
      </c>
      <c r="O67" s="25">
        <f t="shared" si="11"/>
        <v>37.115588547189716</v>
      </c>
    </row>
    <row r="68" spans="2:15" x14ac:dyDescent="0.25">
      <c r="B68" s="27">
        <v>430</v>
      </c>
      <c r="C68" s="28">
        <v>0.70138888888888884</v>
      </c>
      <c r="D68" s="29">
        <v>919</v>
      </c>
      <c r="E68" s="29">
        <v>1.29</v>
      </c>
      <c r="F68" s="29">
        <v>24.6</v>
      </c>
      <c r="G68" s="30">
        <v>0.48599999999999999</v>
      </c>
      <c r="H68" s="29">
        <v>24.6</v>
      </c>
      <c r="I68" s="30">
        <v>0.48899999999999999</v>
      </c>
      <c r="J68" s="25">
        <f t="shared" si="6"/>
        <v>0.1801872375399709</v>
      </c>
      <c r="K68" s="25">
        <f t="shared" si="7"/>
        <v>3.8887237539970892E-2</v>
      </c>
      <c r="L68" s="25">
        <f t="shared" si="8"/>
        <v>0.57440791799222191</v>
      </c>
      <c r="M68" s="25">
        <f t="shared" si="9"/>
        <v>34.464475079533315</v>
      </c>
      <c r="N68" s="25">
        <f t="shared" si="10"/>
        <v>0.58913632614587064</v>
      </c>
      <c r="O68" s="25">
        <f t="shared" si="11"/>
        <v>35.348179568752244</v>
      </c>
    </row>
    <row r="69" spans="2:15" x14ac:dyDescent="0.25">
      <c r="B69" s="27">
        <v>440</v>
      </c>
      <c r="C69" s="28">
        <v>0.70833333333333337</v>
      </c>
      <c r="D69" s="29">
        <v>915.1</v>
      </c>
      <c r="E69" s="29">
        <v>1.32</v>
      </c>
      <c r="F69" s="29">
        <v>24.4</v>
      </c>
      <c r="G69" s="30">
        <v>0.497</v>
      </c>
      <c r="H69" s="29">
        <v>24.4</v>
      </c>
      <c r="I69" s="30">
        <v>0.499</v>
      </c>
      <c r="J69" s="25">
        <f t="shared" si="6"/>
        <v>0.17517882597696124</v>
      </c>
      <c r="K69" s="25">
        <f t="shared" si="7"/>
        <v>3.3878825976961235E-2</v>
      </c>
      <c r="L69" s="25">
        <f t="shared" si="8"/>
        <v>0.60386473429951948</v>
      </c>
      <c r="M69" s="25">
        <f t="shared" si="9"/>
        <v>36.231884057971172</v>
      </c>
      <c r="N69" s="25">
        <f t="shared" si="10"/>
        <v>0.42712383645576102</v>
      </c>
      <c r="O69" s="25">
        <f t="shared" si="11"/>
        <v>25.627430187345659</v>
      </c>
    </row>
    <row r="70" spans="2:15" x14ac:dyDescent="0.25">
      <c r="B70" s="27">
        <v>450</v>
      </c>
      <c r="C70" s="28">
        <v>0.71527777777777779</v>
      </c>
      <c r="D70" s="29">
        <v>911</v>
      </c>
      <c r="E70" s="29">
        <v>1.32</v>
      </c>
      <c r="F70" s="29">
        <v>24.3</v>
      </c>
      <c r="G70" s="30">
        <v>0.505</v>
      </c>
      <c r="H70" s="29">
        <v>24.3</v>
      </c>
      <c r="I70" s="30">
        <v>0.51100000000000001</v>
      </c>
      <c r="J70" s="25">
        <f t="shared" si="6"/>
        <v>0.16991357279533567</v>
      </c>
      <c r="K70" s="25">
        <f t="shared" si="7"/>
        <v>2.8613572795335662E-2</v>
      </c>
      <c r="L70" s="25">
        <f t="shared" si="8"/>
        <v>0.2503829386120025</v>
      </c>
      <c r="M70" s="25">
        <f t="shared" si="9"/>
        <v>15.02297631672015</v>
      </c>
      <c r="N70" s="25">
        <f t="shared" si="10"/>
        <v>0.33138918345705098</v>
      </c>
      <c r="O70" s="25">
        <f t="shared" si="11"/>
        <v>19.883351007423059</v>
      </c>
    </row>
    <row r="71" spans="2:15" x14ac:dyDescent="0.25">
      <c r="B71" s="27">
        <v>460</v>
      </c>
      <c r="C71" s="28">
        <v>0.72222222222222221</v>
      </c>
      <c r="D71" s="29">
        <v>909.3</v>
      </c>
      <c r="E71" s="29">
        <v>1.35</v>
      </c>
      <c r="F71" s="29">
        <v>24.1</v>
      </c>
      <c r="G71" s="30">
        <v>0.51200000000000001</v>
      </c>
      <c r="H71" s="29">
        <v>24.1</v>
      </c>
      <c r="I71" s="30">
        <v>0.51300000000000001</v>
      </c>
      <c r="J71" s="25">
        <f t="shared" si="6"/>
        <v>0.16773041903710062</v>
      </c>
      <c r="K71" s="25">
        <f t="shared" si="7"/>
        <v>2.6430419037100611E-2</v>
      </c>
      <c r="L71" s="25">
        <f t="shared" si="8"/>
        <v>0.41239542830209946</v>
      </c>
      <c r="M71" s="25">
        <f t="shared" si="9"/>
        <v>24.743725698125967</v>
      </c>
      <c r="N71" s="25">
        <f t="shared" si="10"/>
        <v>0.39030281607163497</v>
      </c>
      <c r="O71" s="25">
        <f t="shared" si="11"/>
        <v>23.418168964298097</v>
      </c>
    </row>
    <row r="72" spans="2:15" x14ac:dyDescent="0.25">
      <c r="B72" s="27">
        <v>470</v>
      </c>
      <c r="C72" s="28">
        <v>0.72916666666666663</v>
      </c>
      <c r="D72" s="29">
        <v>906.5</v>
      </c>
      <c r="E72" s="29">
        <v>1.35</v>
      </c>
      <c r="F72" s="29">
        <v>24.1</v>
      </c>
      <c r="G72" s="30">
        <v>0.51700000000000002</v>
      </c>
      <c r="H72" s="29">
        <v>24.1</v>
      </c>
      <c r="I72" s="30">
        <v>0.51900000000000002</v>
      </c>
      <c r="J72" s="25">
        <f t="shared" si="6"/>
        <v>0.16413463637647838</v>
      </c>
      <c r="K72" s="25">
        <f t="shared" si="7"/>
        <v>2.2834636376478368E-2</v>
      </c>
      <c r="L72" s="25">
        <f t="shared" si="8"/>
        <v>0.36821020384117054</v>
      </c>
      <c r="M72" s="25">
        <f t="shared" si="9"/>
        <v>22.09261223047023</v>
      </c>
      <c r="N72" s="25">
        <f t="shared" si="10"/>
        <v>0.40503122422528698</v>
      </c>
      <c r="O72" s="25">
        <f t="shared" si="11"/>
        <v>24.301873453517217</v>
      </c>
    </row>
    <row r="73" spans="2:15" x14ac:dyDescent="0.25">
      <c r="B73" s="27">
        <v>480</v>
      </c>
      <c r="C73" s="28">
        <v>0.73611111111111116</v>
      </c>
      <c r="D73" s="29">
        <v>904</v>
      </c>
      <c r="E73" s="29">
        <v>1.34</v>
      </c>
      <c r="F73" s="29">
        <v>24</v>
      </c>
      <c r="G73" s="30">
        <v>0.52900000000000003</v>
      </c>
      <c r="H73" s="29">
        <v>23.9</v>
      </c>
      <c r="I73" s="30">
        <v>0.53200000000000003</v>
      </c>
      <c r="J73" s="25">
        <f t="shared" si="6"/>
        <v>0.16092411614377986</v>
      </c>
      <c r="K73" s="25">
        <f t="shared" si="7"/>
        <v>1.9624116143779846E-2</v>
      </c>
      <c r="L73" s="25">
        <f t="shared" si="8"/>
        <v>0.44185224460940342</v>
      </c>
      <c r="M73" s="25">
        <f t="shared" si="9"/>
        <v>26.511134676564204</v>
      </c>
      <c r="N73" s="25">
        <f t="shared" si="10"/>
        <v>0.44185224460940187</v>
      </c>
      <c r="O73" s="25">
        <f t="shared" si="11"/>
        <v>26.511134676564112</v>
      </c>
    </row>
    <row r="74" spans="2:15" x14ac:dyDescent="0.25">
      <c r="B74" s="27">
        <v>490</v>
      </c>
      <c r="C74" s="28">
        <v>0.74305555555555558</v>
      </c>
      <c r="D74" s="29">
        <v>901</v>
      </c>
      <c r="E74" s="29">
        <v>1.4</v>
      </c>
      <c r="F74" s="29">
        <v>23.8</v>
      </c>
      <c r="G74" s="30">
        <v>0.53600000000000003</v>
      </c>
      <c r="H74" s="29">
        <v>23.8</v>
      </c>
      <c r="I74" s="30">
        <v>0.53700000000000003</v>
      </c>
      <c r="J74" s="25">
        <f t="shared" si="6"/>
        <v>0.15707149186454164</v>
      </c>
      <c r="K74" s="25">
        <f t="shared" si="7"/>
        <v>1.5771491864541631E-2</v>
      </c>
      <c r="L74" s="25">
        <f t="shared" si="8"/>
        <v>0.44185224460940026</v>
      </c>
      <c r="M74" s="25">
        <f t="shared" si="9"/>
        <v>26.511134676564016</v>
      </c>
      <c r="N74" s="25">
        <f t="shared" si="10"/>
        <v>0.51549428537763631</v>
      </c>
      <c r="O74" s="25">
        <f t="shared" si="11"/>
        <v>30.929657122658178</v>
      </c>
    </row>
    <row r="75" spans="2:15" x14ac:dyDescent="0.25">
      <c r="B75" s="27">
        <v>500</v>
      </c>
      <c r="C75" s="28">
        <v>0.75</v>
      </c>
      <c r="D75" s="29">
        <v>898</v>
      </c>
      <c r="E75" s="29">
        <v>1.4</v>
      </c>
      <c r="F75" s="29">
        <v>23.8</v>
      </c>
      <c r="G75" s="30">
        <v>0.54</v>
      </c>
      <c r="H75" s="29">
        <v>23.8</v>
      </c>
      <c r="I75" s="30">
        <v>0.54200000000000004</v>
      </c>
      <c r="J75" s="25">
        <f t="shared" si="6"/>
        <v>0.15321886758530345</v>
      </c>
      <c r="K75" s="25">
        <f t="shared" si="7"/>
        <v>1.1918867585303444E-2</v>
      </c>
      <c r="L75" s="25">
        <f t="shared" si="8"/>
        <v>0.5891363261458723</v>
      </c>
      <c r="M75" s="25">
        <f t="shared" si="9"/>
        <v>35.348179568752336</v>
      </c>
      <c r="N75" s="25">
        <f t="shared" si="10"/>
        <v>0.44185224460940342</v>
      </c>
      <c r="O75" s="25">
        <f t="shared" si="11"/>
        <v>26.511134676564204</v>
      </c>
    </row>
    <row r="76" spans="2:15" x14ac:dyDescent="0.25">
      <c r="B76" s="27">
        <v>510</v>
      </c>
      <c r="C76" s="28">
        <v>0.75694444444444442</v>
      </c>
      <c r="D76" s="29">
        <v>894</v>
      </c>
      <c r="E76" s="29">
        <v>1.35</v>
      </c>
      <c r="F76" s="29">
        <v>23.6</v>
      </c>
      <c r="G76" s="30">
        <v>0.54700000000000004</v>
      </c>
      <c r="H76" s="29">
        <v>23.6</v>
      </c>
      <c r="I76" s="30">
        <v>0.55100000000000005</v>
      </c>
      <c r="J76" s="25">
        <f t="shared" si="6"/>
        <v>0.14808203521298582</v>
      </c>
      <c r="K76" s="25">
        <f t="shared" si="7"/>
        <v>6.7820352129858152E-3</v>
      </c>
      <c r="L76" s="25">
        <f t="shared" si="8"/>
        <v>0.29456816307293454</v>
      </c>
      <c r="M76" s="25">
        <f t="shared" si="9"/>
        <v>17.674089784376072</v>
      </c>
      <c r="N76" s="25">
        <f t="shared" si="10"/>
        <v>0.2209261223047001</v>
      </c>
      <c r="O76" s="25">
        <f t="shared" si="11"/>
        <v>13.255567338282006</v>
      </c>
    </row>
    <row r="77" spans="2:15" x14ac:dyDescent="0.25">
      <c r="B77" s="27">
        <v>520</v>
      </c>
      <c r="C77" s="28">
        <v>0.76388888888888884</v>
      </c>
      <c r="D77" s="29">
        <v>892</v>
      </c>
      <c r="E77" s="29">
        <v>1.35</v>
      </c>
      <c r="F77" s="29">
        <v>23.5</v>
      </c>
      <c r="G77" s="30">
        <v>0.55299999999999994</v>
      </c>
      <c r="H77" s="29">
        <v>23.5</v>
      </c>
      <c r="I77" s="30">
        <v>0.55399999999999994</v>
      </c>
      <c r="J77" s="25">
        <f t="shared" si="6"/>
        <v>0.14551361902682702</v>
      </c>
      <c r="K77" s="25">
        <f t="shared" si="7"/>
        <v>4.2136190268270146E-3</v>
      </c>
      <c r="L77" s="25">
        <f t="shared" si="8"/>
        <v>0.14728408153646569</v>
      </c>
      <c r="M77" s="25">
        <f t="shared" si="9"/>
        <v>8.8370448921879419</v>
      </c>
      <c r="N77" s="25">
        <f t="shared" si="10"/>
        <v>7.0472510954600096E-2</v>
      </c>
      <c r="O77" s="25">
        <f t="shared" si="11"/>
        <v>4.2283506572760059</v>
      </c>
    </row>
    <row r="78" spans="2:15" x14ac:dyDescent="0.25">
      <c r="B78" s="27">
        <v>530</v>
      </c>
      <c r="C78" s="28">
        <v>0.77083333333333337</v>
      </c>
      <c r="D78" s="29">
        <v>891</v>
      </c>
      <c r="E78" s="29">
        <v>1.33</v>
      </c>
      <c r="F78" s="29">
        <v>23.4</v>
      </c>
      <c r="G78" s="30">
        <v>0.56000000000000005</v>
      </c>
      <c r="H78" s="29">
        <v>23.4</v>
      </c>
      <c r="I78" s="30">
        <v>0.56200000000000006</v>
      </c>
      <c r="J78" s="25">
        <f t="shared" si="6"/>
        <v>0.14422941093374764</v>
      </c>
      <c r="K78" s="25">
        <f t="shared" si="7"/>
        <v>2.9294109337476282E-3</v>
      </c>
      <c r="L78" s="25">
        <f t="shared" si="8"/>
        <v>-6.3390596272655088E-3</v>
      </c>
      <c r="M78" s="25">
        <f t="shared" si="9"/>
        <v>-0.38034357763593052</v>
      </c>
      <c r="N78" s="24"/>
      <c r="O78" s="24"/>
    </row>
    <row r="80" spans="2:15" x14ac:dyDescent="0.25">
      <c r="D80" s="19">
        <f>D25-B20</f>
        <v>294.31999999999994</v>
      </c>
    </row>
  </sheetData>
  <mergeCells count="12">
    <mergeCell ref="L23:L24"/>
    <mergeCell ref="K23:K24"/>
    <mergeCell ref="M23:M24"/>
    <mergeCell ref="N23:N24"/>
    <mergeCell ref="O23:O24"/>
    <mergeCell ref="H23:I23"/>
    <mergeCell ref="J23:J24"/>
    <mergeCell ref="B23:B24"/>
    <mergeCell ref="C23:C24"/>
    <mergeCell ref="D23:D24"/>
    <mergeCell ref="E23:E24"/>
    <mergeCell ref="F23:G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7079b3-b30c-4483-9c3f-4881657a45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3ED1DD288D4D971C11E91301A6A6" ma:contentTypeVersion="16" ma:contentTypeDescription="Create a new document." ma:contentTypeScope="" ma:versionID="5beffd6b747a73517c7170b884f22590">
  <xsd:schema xmlns:xsd="http://www.w3.org/2001/XMLSchema" xmlns:xs="http://www.w3.org/2001/XMLSchema" xmlns:p="http://schemas.microsoft.com/office/2006/metadata/properties" xmlns:ns3="bf7079b3-b30c-4483-9c3f-4881657a4515" xmlns:ns4="6ba6c082-b8ff-46e8-a9c8-648c14b24c4d" targetNamespace="http://schemas.microsoft.com/office/2006/metadata/properties" ma:root="true" ma:fieldsID="cbc9466e1a2b05f37c22ff25adba472f" ns3:_="" ns4:_="">
    <xsd:import namespace="bf7079b3-b30c-4483-9c3f-4881657a4515"/>
    <xsd:import namespace="6ba6c082-b8ff-46e8-a9c8-648c14b24c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079b3-b30c-4483-9c3f-4881657a45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6c082-b8ff-46e8-a9c8-648c14b24c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C97020-71C5-4E75-B10E-DB9CAF6F625C}">
  <ds:schemaRefs>
    <ds:schemaRef ds:uri="http://schemas.microsoft.com/office/2006/documentManagement/types"/>
    <ds:schemaRef ds:uri="bf7079b3-b30c-4483-9c3f-4881657a4515"/>
    <ds:schemaRef ds:uri="http://schemas.openxmlformats.org/package/2006/metadata/core-properties"/>
    <ds:schemaRef ds:uri="http://purl.org/dc/terms/"/>
    <ds:schemaRef ds:uri="http://purl.org/dc/elements/1.1/"/>
    <ds:schemaRef ds:uri="6ba6c082-b8ff-46e8-a9c8-648c14b24c4d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066025-B1D8-4A92-BF88-197F0CF872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8E9F4-929C-4194-A266-459112CF5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079b3-b30c-4483-9c3f-4881657a4515"/>
    <ds:schemaRef ds:uri="6ba6c082-b8ff-46e8-a9c8-648c14b24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Original</vt:lpstr>
      <vt:lpstr>Sin ruido en Tsal</vt:lpstr>
      <vt:lpstr>Velocidad de secado</vt:lpstr>
      <vt:lpstr>Gráficos EQ5</vt:lpstr>
      <vt:lpstr>EQ5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Sosa Garcia</dc:creator>
  <cp:keywords/>
  <dc:description/>
  <cp:lastModifiedBy>Mauricio Sosa Garcia</cp:lastModifiedBy>
  <cp:revision/>
  <dcterms:created xsi:type="dcterms:W3CDTF">2025-12-09T15:53:35Z</dcterms:created>
  <dcterms:modified xsi:type="dcterms:W3CDTF">2025-12-16T01:26:42Z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0x01010017123ED1DD288D4D971C11E91301A6A6</vt:lpwstr>
  </property>
</Properties>
</file>